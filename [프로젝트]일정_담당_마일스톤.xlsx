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시보드" sheetId="1" r:id="rId4"/>
    <sheet state="visible" name="마일스톤" sheetId="2" r:id="rId5"/>
    <sheet state="visible" name="김효정(AA)개인보고" sheetId="3" r:id="rId6"/>
    <sheet state="visible" name="김한준(DA)개인보고" sheetId="4" r:id="rId7"/>
    <sheet state="visible" name="이상윤(DA)개인보고" sheetId="5" r:id="rId8"/>
    <sheet state="visible" name="정우식(TA)개인보고" sheetId="6" r:id="rId9"/>
  </sheets>
  <definedNames/>
  <calcPr/>
</workbook>
</file>

<file path=xl/sharedStrings.xml><?xml version="1.0" encoding="utf-8"?>
<sst xmlns="http://schemas.openxmlformats.org/spreadsheetml/2006/main" count="328" uniqueCount="200">
  <si>
    <t>전체 프로젝트 진행률</t>
  </si>
  <si>
    <t>완료된 작업 수</t>
  </si>
  <si>
    <t>진행중인 작업 수</t>
  </si>
  <si>
    <t>대기중인 작업 수</t>
  </si>
  <si>
    <t>🎯 마일스톤 현황</t>
  </si>
  <si>
    <t>마일스톤</t>
  </si>
  <si>
    <t>설명</t>
  </si>
  <si>
    <t>예정일</t>
  </si>
  <si>
    <t>진행률(%)</t>
  </si>
  <si>
    <t>상태</t>
  </si>
  <si>
    <t>M1</t>
  </si>
  <si>
    <t>기획 및 준비 완료</t>
  </si>
  <si>
    <t>M2</t>
  </si>
  <si>
    <t>데이터 수집 및 전처리 완료</t>
  </si>
  <si>
    <t xml:space="preserve">   </t>
  </si>
  <si>
    <t>M3</t>
  </si>
  <si>
    <t>데이터 분석 및 시각화 완료</t>
  </si>
  <si>
    <t>M4</t>
  </si>
  <si>
    <t>발표자료 및 최종보고서 완료</t>
  </si>
  <si>
    <t>M5</t>
  </si>
  <si>
    <t>최종 발표</t>
  </si>
  <si>
    <t>💼 일일 업무 보고</t>
  </si>
  <si>
    <t>구분</t>
  </si>
  <si>
    <t>담당업무(메인/서브)</t>
  </si>
  <si>
    <t>퇴근시간</t>
  </si>
  <si>
    <t>특이사항</t>
  </si>
  <si>
    <t>개인 업무 보고 시트</t>
  </si>
  <si>
    <t>김효정</t>
  </si>
  <si>
    <t>AA/DA</t>
  </si>
  <si>
    <t>김효정개인보고시트</t>
  </si>
  <si>
    <t>김한준</t>
  </si>
  <si>
    <t>DA/AA</t>
  </si>
  <si>
    <t>김한준개인보고시트</t>
  </si>
  <si>
    <t>이상윤</t>
  </si>
  <si>
    <t>DA/TA</t>
  </si>
  <si>
    <t>이상윤개인보고시트</t>
  </si>
  <si>
    <t>정우식</t>
  </si>
  <si>
    <t>TA/DA</t>
  </si>
  <si>
    <t>정우식개인보고시트</t>
  </si>
  <si>
    <t>November</t>
  </si>
  <si>
    <t>WBS</t>
  </si>
  <si>
    <t>작업명</t>
  </si>
  <si>
    <t>담당자</t>
  </si>
  <si>
    <t>예상시작일</t>
  </si>
  <si>
    <t>예상종료일</t>
  </si>
  <si>
    <t>예상기간(일)</t>
  </si>
  <si>
    <t>실제시작일</t>
  </si>
  <si>
    <t>실제종료일</t>
  </si>
  <si>
    <t>실제기간(일)</t>
  </si>
  <si>
    <t>Week1</t>
  </si>
  <si>
    <t>Week2</t>
  </si>
  <si>
    <t>Week3</t>
  </si>
  <si>
    <t>Week4</t>
  </si>
  <si>
    <t>기획 및 준비</t>
  </si>
  <si>
    <t>대기</t>
  </si>
  <si>
    <t>기획 및 준비(11/3-11/12)</t>
  </si>
  <si>
    <t>프로젝트 킥오프</t>
  </si>
  <si>
    <t>프로젝트 킥오프(11/3-11/12)</t>
  </si>
  <si>
    <t>1.1.1</t>
  </si>
  <si>
    <t>기획 및 주제 선정</t>
  </si>
  <si>
    <t>전체</t>
  </si>
  <si>
    <t>기획 및 주제 선정(11/3-11/10)</t>
  </si>
  <si>
    <t>1.1.2</t>
  </si>
  <si>
    <t>분석 배경 기술</t>
  </si>
  <si>
    <t>AA</t>
  </si>
  <si>
    <t>분석 배경 기술(11/11-11/12)</t>
  </si>
  <si>
    <t>1.1.3</t>
  </si>
  <si>
    <t>분석 절차 정립</t>
  </si>
  <si>
    <t>분석 절차 정립(11/11-11/12)</t>
  </si>
  <si>
    <t>1.1.4</t>
  </si>
  <si>
    <t>분석 목표 및 범위 설정</t>
  </si>
  <si>
    <t>분석 목표 및 범위 설정(11/11-11/12)</t>
  </si>
  <si>
    <t>문제 정의</t>
  </si>
  <si>
    <t>문제 정의(11/11-11/12)</t>
  </si>
  <si>
    <t>1.2.1</t>
  </si>
  <si>
    <t>선행연구 및 방법론 탐색</t>
  </si>
  <si>
    <t>DA, TA</t>
  </si>
  <si>
    <t>선행연구 및 방법론 탐색(11/11-11/12)</t>
  </si>
  <si>
    <t>1.2.2</t>
  </si>
  <si>
    <t>문제 정의 및 분석방법 선정</t>
  </si>
  <si>
    <t>DA</t>
  </si>
  <si>
    <t>문제 정의 및 분석방법 선정(11/11-11/12)</t>
  </si>
  <si>
    <t>1.2.3</t>
  </si>
  <si>
    <t>데이터 수집 채널 선정</t>
  </si>
  <si>
    <t>데이터 수집 채널 선정(11/11-11/12)</t>
  </si>
  <si>
    <t>1.2.4</t>
  </si>
  <si>
    <t>데이터 수집 리스트업</t>
  </si>
  <si>
    <t>데이터 수집 리스트업(11/11-11/12)</t>
  </si>
  <si>
    <t>데이터 수집 및 전처리</t>
  </si>
  <si>
    <t>데이터 수집 및 전처리(11/12-11/18)</t>
  </si>
  <si>
    <t>데이터 수집</t>
  </si>
  <si>
    <t>데이터 수집(11/12-11/13)</t>
  </si>
  <si>
    <t>2.1.1</t>
  </si>
  <si>
    <t>raw data 수집</t>
  </si>
  <si>
    <t>raw data 수집(11/12-11/13)</t>
  </si>
  <si>
    <t>2.1.2</t>
  </si>
  <si>
    <t>데이터 검토 및 정리</t>
  </si>
  <si>
    <t>AA, DA</t>
  </si>
  <si>
    <t>데이터 검토 및 정리(11/12-11/13)</t>
  </si>
  <si>
    <t>2.1.3</t>
  </si>
  <si>
    <t>추가 데이터 수집</t>
  </si>
  <si>
    <t>추가 데이터 수집(11/14-11/14)</t>
  </si>
  <si>
    <t>2.1.4</t>
  </si>
  <si>
    <t>수집 현황표 작성 및 공유</t>
  </si>
  <si>
    <t>수집 현황표 작성 및 공유(11/14-11/14)</t>
  </si>
  <si>
    <t>데이터 이해 및 통합화</t>
  </si>
  <si>
    <t>데이터 이해 및 통합화(11/17-11/18)</t>
  </si>
  <si>
    <t>2.2.1</t>
  </si>
  <si>
    <t>데이터 형태 및 주요 컬럼 확인(변수설정)</t>
  </si>
  <si>
    <t>데이터 형태 및 주요 컬럼 확인(변수설정)(11/17-11/17)</t>
  </si>
  <si>
    <t>2.2.2</t>
  </si>
  <si>
    <t>컬럼명 표준화 및 맵핑</t>
  </si>
  <si>
    <t>컬럼명 표준화 및 맵핑(11/17-11/17)</t>
  </si>
  <si>
    <t>2.2.3</t>
  </si>
  <si>
    <t>데이터 연결 구조 검토(테이블 관계 설정)</t>
  </si>
  <si>
    <t>데이터 연결 구조 검토(테이블 관계 설정)(11/17-11/17)</t>
  </si>
  <si>
    <t>2.2.4</t>
  </si>
  <si>
    <t>데이터명세서 작성</t>
  </si>
  <si>
    <t>데이터명세서 작성(11/17-11/18)</t>
  </si>
  <si>
    <t>데이터 정제</t>
  </si>
  <si>
    <t>데이터 정제(11/17-11/18)</t>
  </si>
  <si>
    <t>2.3.1</t>
  </si>
  <si>
    <t>결측값 및 이상치 처리</t>
  </si>
  <si>
    <t>결측값 및 이상치 처리(11/17-11/18)</t>
  </si>
  <si>
    <t>2.3.2</t>
  </si>
  <si>
    <t>데이터 타입 변환 및 포맷 통일</t>
  </si>
  <si>
    <t>데이터 타입 변환 및 포맷 통일(11/17-11/18)</t>
  </si>
  <si>
    <t>2.3.3</t>
  </si>
  <si>
    <t>파생 변수 설정(지표설정 등)</t>
  </si>
  <si>
    <t>파생 변수 설정(11/17-11/18)</t>
  </si>
  <si>
    <t>2.3.4</t>
  </si>
  <si>
    <t>데이터 스케일링 및 정규화(최종 데이터셋)</t>
  </si>
  <si>
    <t>데이터 스케일링 및 정규화(11/17-11/18)</t>
  </si>
  <si>
    <t>데이터 분석 및 시각화</t>
  </si>
  <si>
    <t>데이터 분석 및 시각화(11/19-11/24)</t>
  </si>
  <si>
    <t>탐색적 데이터 분석(EDA)</t>
  </si>
  <si>
    <t>탐색적 데이터 분석(EDA)(11/19-11/22)</t>
  </si>
  <si>
    <t>3.1.1</t>
  </si>
  <si>
    <t>변수별 기초 통계 분석</t>
  </si>
  <si>
    <t>TA</t>
  </si>
  <si>
    <t>변수별 기초 통계 분석(11/19-11/19)</t>
  </si>
  <si>
    <t>3.1.2</t>
  </si>
  <si>
    <t>주성분 분석</t>
  </si>
  <si>
    <t>주성분 분석(11/19-11/20)</t>
  </si>
  <si>
    <t>3.1.4</t>
  </si>
  <si>
    <t>차트 및 그래프 개발</t>
  </si>
  <si>
    <t>차트 및 그래프 개발(11/20-11/21)</t>
  </si>
  <si>
    <t>3.1.5</t>
  </si>
  <si>
    <t>시각화 분석 결과 해석</t>
  </si>
  <si>
    <t>AA, DA, TA</t>
  </si>
  <si>
    <t>시각화 분석 결과 해석(11/20-11/22)</t>
  </si>
  <si>
    <t>모델 설계 및 학습</t>
  </si>
  <si>
    <t>모델 설계 및 학습(11/19-11/24)</t>
  </si>
  <si>
    <t>3.2.1</t>
  </si>
  <si>
    <t>모델 후보군 선정 및 알고리즘 검토</t>
  </si>
  <si>
    <t>모델 후보군 선정 및 알고리즘 검토(11/19-11/19)</t>
  </si>
  <si>
    <t>3.2.2</t>
  </si>
  <si>
    <t>모델 입력/출력 변수 정의</t>
  </si>
  <si>
    <t>모델 입력/출력 변수 정의(11/19-11/19)</t>
  </si>
  <si>
    <t>3.2.3</t>
  </si>
  <si>
    <t>학습/검증/테스트 데이터셋 분리</t>
  </si>
  <si>
    <t>학습/검증/테스트 데이터셋 분리(11/19-11/19)</t>
  </si>
  <si>
    <t>3.2.4</t>
  </si>
  <si>
    <t>모델 학습 코드 작성 및 초기 학습</t>
  </si>
  <si>
    <t>모델 학습 코드 작성 및 초기 학습(11/19-11/20)</t>
  </si>
  <si>
    <t>3.2.5</t>
  </si>
  <si>
    <t>하이퍼파라미터 최적화</t>
  </si>
  <si>
    <t>하이퍼파라미터 최적화(11/20-11/21)</t>
  </si>
  <si>
    <t>3.2.6</t>
  </si>
  <si>
    <t>성능 지표 산출</t>
  </si>
  <si>
    <t>성능 지표 산출(11/20-11/21)</t>
  </si>
  <si>
    <t>3.2.7</t>
  </si>
  <si>
    <t>모델 해석 및 주요 변수 중요도 분석</t>
  </si>
  <si>
    <t>모델 해석 및 주요 변수 중요도 분석(11/22-11/24)</t>
  </si>
  <si>
    <t>3.2.8</t>
  </si>
  <si>
    <t>결과의 타당성 검토 및 최종 모델 확정</t>
  </si>
  <si>
    <t>결과의 타당성 검토 및 최종 모델 확정(11/22-11/24)</t>
  </si>
  <si>
    <t>발표자료 및 상세보고서 작성</t>
  </si>
  <si>
    <t>발표자료 및 상세보고서 작성(11/17-11/26)</t>
  </si>
  <si>
    <t>보고서 초안 작성</t>
  </si>
  <si>
    <t>보고서 초안 작성(11/17-11/22)</t>
  </si>
  <si>
    <t>보고서 검토 및 수정</t>
  </si>
  <si>
    <t>보고서 검토 및 수정(11/23-11/24)</t>
  </si>
  <si>
    <t>발표 자료 제작 및 Q&amp;A 준비</t>
  </si>
  <si>
    <t>발표 자료 제작 및 Q&amp;A 준비(11/21-11/24)</t>
  </si>
  <si>
    <t>발표 리허설</t>
  </si>
  <si>
    <t>발표 리허설(11/25-11/25)</t>
  </si>
  <si>
    <t>피드백 기반 최종 수정 및 보완</t>
  </si>
  <si>
    <t>피드백 기반 최종 수정 및 보완(11/25-11/26)</t>
  </si>
  <si>
    <t>최종 발표(11/27-11/27)</t>
  </si>
  <si>
    <t>김효정(AA) 개인 업무 보고</t>
  </si>
  <si>
    <t>보고일자</t>
  </si>
  <si>
    <t>금일 업무 상세</t>
  </si>
  <si>
    <t>비고</t>
  </si>
  <si>
    <t>완료</t>
  </si>
  <si>
    <t>공유 드라이브 구성 및 마일스톤 작성</t>
  </si>
  <si>
    <t>김한준(DA) 개인 업무 보고</t>
  </si>
  <si>
    <t>이상윤(DA) 개인 업무 보고</t>
  </si>
  <si>
    <t>정우식(TA) 개인 업무 보고</t>
  </si>
  <si>
    <t>진행중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</si>
</sst>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&quot;:&quot;mm"/>
  </numFmts>
  <fonts count="17">
    <font>
      <sz val="10.0"/>
      <color rgb="FF000000"/>
      <name val="Arial"/>
      <scheme val="minor"/>
    </font>
    <font>
      <b/>
      <sz val="16.0"/>
      <color rgb="FFFFFFFF"/>
      <name val="&quot;맑은 고딕&quot;"/>
    </font>
    <font/>
    <font>
      <sz val="11.0"/>
      <color rgb="FF000000"/>
      <name val="&quot;맑은 고딕&quot;"/>
    </font>
    <font>
      <b/>
      <sz val="11.0"/>
      <color rgb="FF000000"/>
      <name val="&quot;맑은 고딕&quot;"/>
    </font>
    <font>
      <b/>
      <sz val="14.0"/>
      <color rgb="FF0000FF"/>
      <name val="&quot;맑은 고딕&quot;"/>
    </font>
    <font>
      <color theme="1"/>
      <name val="Arial"/>
      <scheme val="minor"/>
    </font>
    <font>
      <b/>
      <sz val="12.0"/>
      <color rgb="FFFF6600"/>
      <name val="&quot;맑은 고딕&quot;"/>
    </font>
    <font>
      <b/>
      <sz val="12.0"/>
      <color rgb="FF7F7F7F"/>
      <name val="&quot;맑은 고딕&quot;"/>
    </font>
    <font>
      <b/>
      <sz val="14.0"/>
      <color rgb="FFFFFFFF"/>
      <name val="&quot;맑은 고딕&quot;"/>
    </font>
    <font>
      <u/>
      <color rgb="FF0000FF"/>
    </font>
    <font>
      <b/>
      <sz val="11.0"/>
      <color rgb="FFFFFFFF"/>
      <name val="&quot;맑은 고딕&quot;"/>
    </font>
    <font>
      <b/>
      <sz val="11.0"/>
      <color theme="0"/>
      <name val="&quot;맑은 고딕&quot;"/>
    </font>
    <font>
      <b/>
      <sz val="13.0"/>
      <color rgb="FF1C4587"/>
      <name val="&quot;맑은 고딕&quot;"/>
    </font>
    <font>
      <sz val="10.0"/>
      <color theme="1"/>
      <name val="Noto Sans KR"/>
    </font>
    <font>
      <sz val="11.0"/>
      <color theme="1"/>
      <name val="Arial"/>
      <scheme val="minor"/>
    </font>
    <font>
      <b/>
      <sz val="13.0"/>
      <color rgb="FFFFFFFF"/>
      <name val="&quot;맑은 고딕&quot;"/>
    </font>
  </fonts>
  <fills count="1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B4C7E7"/>
        <bgColor rgb="FFB4C7E7"/>
      </patternFill>
    </fill>
    <fill>
      <patternFill patternType="solid">
        <fgColor rgb="FFE7E6E6"/>
        <bgColor rgb="FFE7E6E6"/>
      </patternFill>
    </fill>
    <fill>
      <patternFill patternType="solid">
        <fgColor rgb="FFF4B084"/>
        <bgColor rgb="FFF4B084"/>
      </patternFill>
    </fill>
    <fill>
      <patternFill patternType="solid">
        <fgColor rgb="FF8EA9DB"/>
        <bgColor rgb="FF8EA9DB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F8800"/>
        <bgColor rgb="FFFF8800"/>
      </patternFill>
    </fill>
    <fill>
      <patternFill patternType="solid">
        <fgColor rgb="FF366092"/>
        <bgColor rgb="FF366092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theme="8"/>
        <bgColor theme="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readingOrder="0" shrinkToFit="0" wrapText="0"/>
    </xf>
    <xf borderId="1" fillId="4" fontId="5" numFmtId="10" xfId="0" applyAlignment="1" applyBorder="1" applyFill="1" applyFont="1" applyNumberFormat="1">
      <alignment horizontal="center" readingOrder="0" shrinkToFit="0" vertical="bottom" wrapText="0"/>
    </xf>
    <xf borderId="0" fillId="0" fontId="6" numFmtId="10" xfId="0" applyFont="1" applyNumberFormat="1"/>
    <xf borderId="1" fillId="4" fontId="5" numFmtId="0" xfId="0" applyAlignment="1" applyBorder="1" applyFont="1">
      <alignment horizontal="center" readingOrder="0" shrinkToFit="0" wrapText="0"/>
    </xf>
    <xf borderId="1" fillId="5" fontId="7" numFmtId="0" xfId="0" applyAlignment="1" applyBorder="1" applyFill="1" applyFont="1">
      <alignment horizontal="center" readingOrder="0" shrinkToFit="0" vertical="bottom" wrapText="0"/>
    </xf>
    <xf borderId="1" fillId="6" fontId="8" numFmtId="0" xfId="0" applyAlignment="1" applyBorder="1" applyFill="1" applyFont="1">
      <alignment horizontal="center" readingOrder="0" shrinkToFit="0" vertical="bottom" wrapText="0"/>
    </xf>
    <xf borderId="0" fillId="2" fontId="9" numFmtId="0" xfId="0" applyAlignment="1" applyFont="1">
      <alignment horizontal="center" readingOrder="0" shrinkToFit="0" wrapText="0"/>
    </xf>
    <xf borderId="4" fillId="7" fontId="4" numFmtId="0" xfId="0" applyAlignment="1" applyBorder="1" applyFill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4" fillId="0" fontId="3" numFmtId="164" xfId="0" applyAlignment="1" applyBorder="1" applyFont="1" applyNumberFormat="1">
      <alignment horizontal="center" readingOrder="0" shrinkToFit="0" vertical="bottom" wrapText="0"/>
    </xf>
    <xf borderId="4" fillId="0" fontId="3" numFmtId="1" xfId="0" applyAlignment="1" applyBorder="1" applyFont="1" applyNumberForma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0" fillId="2" fontId="9" numFmtId="14" xfId="0" applyAlignment="1" applyFont="1" applyNumberFormat="1">
      <alignment horizontal="center" readingOrder="0" shrinkToFit="0" wrapText="0"/>
    </xf>
    <xf borderId="4" fillId="8" fontId="4" numFmtId="0" xfId="0" applyAlignment="1" applyBorder="1" applyFill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/>
    </xf>
    <xf borderId="4" fillId="0" fontId="6" numFmtId="20" xfId="0" applyAlignment="1" applyBorder="1" applyFont="1" applyNumberFormat="1">
      <alignment horizontal="center" readingOrder="0"/>
    </xf>
    <xf borderId="4" fillId="0" fontId="6" numFmtId="0" xfId="0" applyBorder="1" applyFont="1"/>
    <xf borderId="4" fillId="0" fontId="10" numFmtId="0" xfId="0" applyAlignment="1" applyBorder="1" applyFont="1">
      <alignment horizontal="center" readingOrder="0"/>
    </xf>
    <xf borderId="4" fillId="9" fontId="4" numFmtId="0" xfId="0" applyAlignment="1" applyBorder="1" applyFill="1" applyFont="1">
      <alignment horizontal="center" readingOrder="0" shrinkToFit="0" vertical="bottom" wrapText="0"/>
    </xf>
    <xf borderId="4" fillId="10" fontId="4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horizontal="right" readingOrder="0"/>
    </xf>
    <xf borderId="5" fillId="6" fontId="11" numFmtId="0" xfId="0" applyAlignment="1" applyBorder="1" applyFont="1">
      <alignment horizontal="center" readingOrder="0" shrinkToFit="0" wrapText="0"/>
    </xf>
    <xf borderId="6" fillId="11" fontId="11" numFmtId="0" xfId="0" applyAlignment="1" applyBorder="1" applyFill="1" applyFont="1">
      <alignment horizontal="center" readingOrder="0" shrinkToFit="0" wrapText="0"/>
    </xf>
    <xf borderId="7" fillId="0" fontId="2" numFmtId="0" xfId="0" applyBorder="1" applyFont="1"/>
    <xf borderId="5" fillId="12" fontId="12" numFmtId="0" xfId="0" applyAlignment="1" applyBorder="1" applyFill="1" applyFont="1">
      <alignment horizontal="center" readingOrder="0" shrinkToFit="0" wrapText="0"/>
    </xf>
    <xf borderId="5" fillId="13" fontId="11" numFmtId="0" xfId="0" applyAlignment="1" applyBorder="1" applyFill="1" applyFont="1">
      <alignment horizontal="center" readingOrder="0" shrinkToFit="0" wrapText="0"/>
    </xf>
    <xf borderId="5" fillId="14" fontId="11" numFmtId="0" xfId="0" applyAlignment="1" applyBorder="1" applyFill="1" applyFont="1">
      <alignment horizontal="center" readingOrder="0" shrinkToFit="0" wrapText="0"/>
    </xf>
    <xf borderId="8" fillId="13" fontId="11" numFmtId="0" xfId="0" applyAlignment="1" applyBorder="1" applyFont="1">
      <alignment horizontal="center" readingOrder="0" shrinkToFit="0" wrapText="0"/>
    </xf>
    <xf borderId="9" fillId="0" fontId="2" numFmtId="0" xfId="0" applyBorder="1" applyFont="1"/>
    <xf borderId="10" fillId="0" fontId="2" numFmtId="0" xfId="0" applyBorder="1" applyFont="1"/>
    <xf borderId="6" fillId="13" fontId="11" numFmtId="0" xfId="0" applyAlignment="1" applyBorder="1" applyFont="1">
      <alignment horizontal="center" readingOrder="0" shrinkToFit="0" wrapText="0"/>
    </xf>
    <xf borderId="11" fillId="0" fontId="2" numFmtId="0" xfId="0" applyBorder="1" applyFont="1"/>
    <xf borderId="5" fillId="12" fontId="11" numFmtId="0" xfId="0" applyAlignment="1" applyBorder="1" applyFont="1">
      <alignment horizontal="center" readingOrder="0" shrinkToFit="0" wrapText="0"/>
    </xf>
    <xf borderId="0" fillId="6" fontId="13" numFmtId="0" xfId="0" applyAlignment="1" applyFont="1">
      <alignment horizontal="right" readingOrder="0" shrinkToFit="0" vertical="bottom" wrapText="0"/>
    </xf>
    <xf borderId="0" fillId="6" fontId="13" numFmtId="0" xfId="0" applyAlignment="1" applyFont="1">
      <alignment horizontal="left" readingOrder="0" shrinkToFit="0" vertical="bottom" wrapText="0"/>
    </xf>
    <xf borderId="0" fillId="6" fontId="3" numFmtId="0" xfId="0" applyAlignment="1" applyFont="1">
      <alignment horizontal="center" readingOrder="0" shrinkToFit="0" vertical="bottom" wrapText="0"/>
    </xf>
    <xf borderId="0" fillId="6" fontId="3" numFmtId="164" xfId="0" applyAlignment="1" applyFont="1" applyNumberFormat="1">
      <alignment horizontal="center" readingOrder="0" shrinkToFit="0" vertical="bottom" wrapText="0"/>
    </xf>
    <xf borderId="6" fillId="4" fontId="14" numFmtId="0" xfId="0" applyAlignment="1" applyBorder="1" applyFont="1">
      <alignment horizontal="left" readingOrder="0" shrinkToFit="0" vertical="center" wrapText="0"/>
    </xf>
    <xf borderId="5" fillId="12" fontId="14" numFmtId="0" xfId="0" applyAlignment="1" applyBorder="1" applyFont="1">
      <alignment horizontal="left" readingOrder="0" shrinkToFit="0" vertical="center" wrapText="0"/>
    </xf>
    <xf borderId="5" fillId="12" fontId="14" numFmtId="0" xfId="0" applyAlignment="1" applyBorder="1" applyFont="1">
      <alignment horizontal="left" shrinkToFit="0" vertical="center" wrapText="0"/>
    </xf>
    <xf borderId="5" fillId="12" fontId="14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horizontal="right"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6" fillId="15" fontId="14" numFmtId="0" xfId="0" applyAlignment="1" applyBorder="1" applyFill="1" applyFon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6" fillId="16" fontId="14" numFmtId="0" xfId="0" applyAlignment="1" applyBorder="1" applyFill="1" applyFont="1">
      <alignment horizontal="left" vertical="center"/>
    </xf>
    <xf borderId="5" fillId="0" fontId="14" numFmtId="0" xfId="0" applyAlignment="1" applyBorder="1" applyFont="1">
      <alignment horizontal="left" readingOrder="0" shrinkToFit="0" vertical="center" wrapText="0"/>
    </xf>
    <xf borderId="11" fillId="12" fontId="14" numFmtId="0" xfId="0" applyAlignment="1" applyBorder="1" applyFont="1">
      <alignment horizontal="left" readingOrder="0" shrinkToFit="0" vertical="center" wrapText="0"/>
    </xf>
    <xf borderId="6" fillId="16" fontId="14" numFmtId="0" xfId="0" applyAlignment="1" applyBorder="1" applyFont="1">
      <alignment horizontal="left" readingOrder="0" shrinkToFit="0" vertical="center" wrapText="0"/>
    </xf>
    <xf borderId="11" fillId="12" fontId="14" numFmtId="0" xfId="0" applyAlignment="1" applyBorder="1" applyFont="1">
      <alignment horizontal="left" shrinkToFit="0" vertical="center" wrapText="0"/>
    </xf>
    <xf borderId="0" fillId="6" fontId="3" numFmtId="1" xfId="0" applyAlignment="1" applyFont="1" applyNumberFormat="1">
      <alignment horizontal="center" readingOrder="0" shrinkToFit="0" vertical="bottom" wrapText="0"/>
    </xf>
    <xf borderId="11" fillId="0" fontId="14" numFmtId="0" xfId="0" applyAlignment="1" applyBorder="1" applyFont="1">
      <alignment horizontal="left" readingOrder="0" shrinkToFit="0" vertical="center" wrapText="0"/>
    </xf>
    <xf borderId="6" fillId="4" fontId="14" numFmtId="1" xfId="0" applyAlignment="1" applyBorder="1" applyFont="1" applyNumberFormat="1">
      <alignment horizontal="left" readingOrder="0" shrinkToFit="0" vertical="center" wrapText="0"/>
    </xf>
    <xf borderId="0" fillId="12" fontId="14" numFmtId="0" xfId="0" applyAlignment="1" applyFont="1">
      <alignment horizontal="left" readingOrder="0" shrinkToFit="0" vertical="center" wrapText="0"/>
    </xf>
    <xf borderId="5" fillId="12" fontId="14" numFmtId="0" xfId="0" applyAlignment="1" applyBorder="1" applyFont="1">
      <alignment horizontal="center" readingOrder="0" shrinkToFit="0" vertical="center" wrapText="0"/>
    </xf>
    <xf borderId="5" fillId="16" fontId="14" numFmtId="0" xfId="0" applyAlignment="1" applyBorder="1" applyFont="1">
      <alignment horizontal="left" readingOrder="0" shrinkToFit="0" vertical="center" wrapText="0"/>
    </xf>
    <xf borderId="5" fillId="0" fontId="14" numFmtId="0" xfId="0" applyAlignment="1" applyBorder="1" applyFont="1">
      <alignment horizontal="left" vertical="center"/>
    </xf>
    <xf borderId="0" fillId="0" fontId="3" numFmtId="0" xfId="0" applyAlignment="1" applyFont="1">
      <alignment horizontal="right" readingOrder="0" shrinkToFit="0" vertical="bottom" wrapText="0"/>
    </xf>
    <xf borderId="11" fillId="0" fontId="14" numFmtId="0" xfId="0" applyAlignment="1" applyBorder="1" applyFont="1">
      <alignment horizontal="left" shrinkToFit="0" vertical="center" wrapText="0"/>
    </xf>
    <xf borderId="5" fillId="0" fontId="14" numFmtId="0" xfId="0" applyAlignment="1" applyBorder="1" applyFont="1">
      <alignment horizontal="left" shrinkToFit="0" vertical="center" wrapText="0"/>
    </xf>
    <xf borderId="11" fillId="0" fontId="14" numFmtId="0" xfId="0" applyAlignment="1" applyBorder="1" applyFont="1">
      <alignment horizontal="left" vertical="center"/>
    </xf>
    <xf borderId="5" fillId="12" fontId="14" numFmtId="0" xfId="0" applyAlignment="1" applyBorder="1" applyFont="1">
      <alignment horizontal="left" vertical="center"/>
    </xf>
    <xf borderId="5" fillId="12" fontId="14" numFmtId="0" xfId="0" applyAlignment="1" applyBorder="1" applyFont="1">
      <alignment vertical="center"/>
    </xf>
    <xf borderId="5" fillId="4" fontId="14" numFmtId="0" xfId="0" applyAlignment="1" applyBorder="1" applyFont="1">
      <alignment horizontal="left" readingOrder="0" shrinkToFit="0" vertical="center" wrapText="0"/>
    </xf>
    <xf borderId="0" fillId="0" fontId="15" numFmtId="0" xfId="0" applyFont="1"/>
    <xf borderId="6" fillId="17" fontId="16" numFmtId="0" xfId="0" applyAlignment="1" applyBorder="1" applyFill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20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0" fontId="15" numFmtId="164" xfId="0" applyAlignment="1" applyFont="1" applyNumberFormat="1">
      <alignment horizontal="center" readingOrder="0" vertical="center"/>
    </xf>
    <xf borderId="0" fillId="0" fontId="15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75"/>
    <col customWidth="1" min="5" max="5" width="16.0"/>
    <col customWidth="1" min="11" max="11" width="16.0"/>
  </cols>
  <sheetData>
    <row r="1">
      <c r="A1" s="1"/>
      <c r="B1" s="2"/>
      <c r="C1" s="2"/>
      <c r="D1" s="2"/>
      <c r="E1" s="3"/>
    </row>
    <row r="2">
      <c r="A2" s="4"/>
      <c r="B2" s="4"/>
      <c r="C2" s="4"/>
      <c r="D2" s="4"/>
      <c r="E2" s="4"/>
    </row>
    <row r="3">
      <c r="A3" s="5" t="s">
        <v>0</v>
      </c>
      <c r="B3" s="2"/>
      <c r="C3" s="3"/>
      <c r="D3" s="6">
        <f>COUNTIF('마일스톤'!K:K,"완료")/COUNTA('마일스톤'!A3:A97)</f>
        <v>0</v>
      </c>
      <c r="E3" s="3"/>
      <c r="F3" s="7"/>
    </row>
    <row r="4">
      <c r="A4" s="5" t="s">
        <v>1</v>
      </c>
      <c r="B4" s="2"/>
      <c r="C4" s="3"/>
      <c r="D4" s="8" t="str">
        <f>COUNTIF('마일스톤'!K:K,"완료")&amp;" / "&amp;COUNTA('마일스톤'!A3:A97)</f>
        <v>0 / 49</v>
      </c>
      <c r="E4" s="3"/>
    </row>
    <row r="5">
      <c r="A5" s="5" t="s">
        <v>2</v>
      </c>
      <c r="B5" s="2"/>
      <c r="C5" s="3"/>
      <c r="D5" s="9">
        <f>COUNTIF('마일스톤'!K:K,"진행중")</f>
        <v>0</v>
      </c>
      <c r="E5" s="3"/>
    </row>
    <row r="6">
      <c r="A6" s="5" t="s">
        <v>3</v>
      </c>
      <c r="B6" s="2"/>
      <c r="C6" s="3"/>
      <c r="D6" s="10">
        <f>COUNTIF('마일스톤'!K:K,"대기")</f>
        <v>49</v>
      </c>
      <c r="E6" s="3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11" t="s">
        <v>4</v>
      </c>
    </row>
    <row r="10">
      <c r="A10" s="12" t="s">
        <v>5</v>
      </c>
      <c r="B10" s="12" t="s">
        <v>6</v>
      </c>
      <c r="C10" s="12" t="s">
        <v>7</v>
      </c>
      <c r="D10" s="12" t="s">
        <v>8</v>
      </c>
      <c r="E10" s="12" t="s">
        <v>9</v>
      </c>
    </row>
    <row r="11">
      <c r="A11" s="13" t="s">
        <v>10</v>
      </c>
      <c r="B11" s="14" t="s">
        <v>11</v>
      </c>
      <c r="C11" s="15">
        <v>45973.0</v>
      </c>
      <c r="D11" s="13">
        <f>'마일스톤'!J3</f>
        <v>0</v>
      </c>
      <c r="E11" s="13" t="str">
        <f t="shared" ref="E11:E15" si="1">IF(D11=100,"✅ 완료",IF(D11&gt;0,"🔄 진행중","⏸️ 대기"))</f>
        <v>⏸️ 대기</v>
      </c>
    </row>
    <row r="12">
      <c r="A12" s="13" t="s">
        <v>12</v>
      </c>
      <c r="B12" s="14" t="s">
        <v>13</v>
      </c>
      <c r="C12" s="15">
        <v>45979.0</v>
      </c>
      <c r="D12" s="16">
        <f>'마일스톤'!J14</f>
        <v>0</v>
      </c>
      <c r="E12" s="13" t="str">
        <f t="shared" si="1"/>
        <v>⏸️ 대기</v>
      </c>
      <c r="H12" s="17" t="s">
        <v>14</v>
      </c>
    </row>
    <row r="13">
      <c r="A13" s="13" t="s">
        <v>15</v>
      </c>
      <c r="B13" s="14" t="s">
        <v>16</v>
      </c>
      <c r="C13" s="15">
        <v>45985.0</v>
      </c>
      <c r="D13" s="16">
        <f>'마일스톤'!J30</f>
        <v>0</v>
      </c>
      <c r="E13" s="13" t="str">
        <f t="shared" si="1"/>
        <v>⏸️ 대기</v>
      </c>
    </row>
    <row r="14">
      <c r="A14" s="13" t="s">
        <v>17</v>
      </c>
      <c r="B14" s="14" t="s">
        <v>18</v>
      </c>
      <c r="C14" s="15">
        <v>45987.0</v>
      </c>
      <c r="D14" s="13">
        <f>'마일스톤'!J45</f>
        <v>0</v>
      </c>
      <c r="E14" s="13" t="str">
        <f t="shared" si="1"/>
        <v>⏸️ 대기</v>
      </c>
    </row>
    <row r="15">
      <c r="A15" s="13" t="s">
        <v>19</v>
      </c>
      <c r="B15" s="14" t="s">
        <v>20</v>
      </c>
      <c r="C15" s="15">
        <v>45988.0</v>
      </c>
      <c r="D15" s="13" t="str">
        <f>'마일스톤'!J51</f>
        <v/>
      </c>
      <c r="E15" s="13" t="str">
        <f t="shared" si="1"/>
        <v>⏸️ 대기</v>
      </c>
    </row>
    <row r="16">
      <c r="A16" s="4"/>
      <c r="B16" s="4"/>
      <c r="C16" s="4"/>
      <c r="D16" s="4"/>
      <c r="E16" s="4"/>
    </row>
    <row r="18">
      <c r="A18" s="11" t="s">
        <v>21</v>
      </c>
      <c r="E18" s="18">
        <f>today()</f>
        <v>45996</v>
      </c>
    </row>
    <row r="19">
      <c r="A19" s="12" t="s">
        <v>22</v>
      </c>
      <c r="B19" s="12" t="s">
        <v>23</v>
      </c>
      <c r="C19" s="12" t="s">
        <v>24</v>
      </c>
      <c r="D19" s="12" t="s">
        <v>25</v>
      </c>
      <c r="E19" s="12" t="s">
        <v>26</v>
      </c>
    </row>
    <row r="20">
      <c r="A20" s="19" t="s">
        <v>27</v>
      </c>
      <c r="B20" s="20" t="s">
        <v>28</v>
      </c>
      <c r="C20" s="21">
        <v>0.75</v>
      </c>
      <c r="D20" s="22"/>
      <c r="E20" s="23" t="s">
        <v>29</v>
      </c>
    </row>
    <row r="21">
      <c r="A21" s="24" t="s">
        <v>30</v>
      </c>
      <c r="B21" s="20" t="s">
        <v>31</v>
      </c>
      <c r="C21" s="21">
        <v>0.75</v>
      </c>
      <c r="D21" s="22"/>
      <c r="E21" s="23" t="s">
        <v>32</v>
      </c>
    </row>
    <row r="22">
      <c r="A22" s="24" t="s">
        <v>33</v>
      </c>
      <c r="B22" s="20" t="s">
        <v>34</v>
      </c>
      <c r="C22" s="21">
        <v>0.75</v>
      </c>
      <c r="D22" s="22"/>
      <c r="E22" s="23" t="s">
        <v>35</v>
      </c>
    </row>
    <row r="23">
      <c r="A23" s="25" t="s">
        <v>36</v>
      </c>
      <c r="B23" s="20" t="s">
        <v>37</v>
      </c>
      <c r="C23" s="21">
        <v>0.75</v>
      </c>
      <c r="D23" s="22"/>
      <c r="E23" s="23" t="s">
        <v>38</v>
      </c>
    </row>
    <row r="27">
      <c r="A27" s="26"/>
    </row>
    <row r="28">
      <c r="A28" s="26"/>
    </row>
  </sheetData>
  <mergeCells count="11">
    <mergeCell ref="A6:C6"/>
    <mergeCell ref="D6:E6"/>
    <mergeCell ref="A9:E9"/>
    <mergeCell ref="A18:D18"/>
    <mergeCell ref="A1:E1"/>
    <mergeCell ref="A3:C3"/>
    <mergeCell ref="D3:E3"/>
    <mergeCell ref="A4:C4"/>
    <mergeCell ref="D4:E4"/>
    <mergeCell ref="A5:C5"/>
    <mergeCell ref="D5:E5"/>
  </mergeCells>
  <hyperlinks>
    <hyperlink display="김효정개인보고시트" location="'김효정(AA)개인보고'!A1" ref="E20"/>
    <hyperlink display="김한준개인보고시트" location="'김한준(DA)개인보고'!A1" ref="E21"/>
    <hyperlink display="이상윤개인보고시트" location="'이상윤(DA)개인보고'!A1" ref="E22"/>
    <hyperlink display="정우식개인보고시트" location="'정우식(TA)개인보고'!A1" ref="E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2.88"/>
    <col customWidth="1" min="3" max="3" width="11.63"/>
    <col customWidth="1" min="6" max="6" width="11.0"/>
    <col customWidth="1" min="9" max="9" width="11.25"/>
    <col customWidth="1" min="10" max="10" width="11.63"/>
    <col customWidth="1" min="12" max="48" width="3.13"/>
  </cols>
  <sheetData>
    <row r="1" ht="18.7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8" t="s">
        <v>39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30"/>
      <c r="AO1" s="30"/>
      <c r="AP1" s="30"/>
      <c r="AQ1" s="30"/>
      <c r="AR1" s="30"/>
      <c r="AS1" s="30"/>
      <c r="AT1" s="30"/>
      <c r="AU1" s="30"/>
      <c r="AV1" s="30"/>
    </row>
    <row r="2" ht="18.75" customHeight="1">
      <c r="A2" s="31" t="s">
        <v>40</v>
      </c>
      <c r="B2" s="32" t="s">
        <v>41</v>
      </c>
      <c r="C2" s="32" t="s">
        <v>42</v>
      </c>
      <c r="D2" s="32" t="s">
        <v>43</v>
      </c>
      <c r="E2" s="32" t="s">
        <v>44</v>
      </c>
      <c r="F2" s="32" t="s">
        <v>45</v>
      </c>
      <c r="G2" s="31" t="s">
        <v>46</v>
      </c>
      <c r="H2" s="31" t="s">
        <v>47</v>
      </c>
      <c r="I2" s="31" t="s">
        <v>48</v>
      </c>
      <c r="J2" s="32" t="s">
        <v>8</v>
      </c>
      <c r="K2" s="32" t="s">
        <v>9</v>
      </c>
      <c r="L2" s="33" t="s">
        <v>49</v>
      </c>
      <c r="M2" s="34"/>
      <c r="N2" s="34"/>
      <c r="O2" s="34"/>
      <c r="P2" s="34"/>
      <c r="Q2" s="34"/>
      <c r="R2" s="35"/>
      <c r="S2" s="33" t="s">
        <v>50</v>
      </c>
      <c r="T2" s="34"/>
      <c r="U2" s="34"/>
      <c r="V2" s="34"/>
      <c r="W2" s="34"/>
      <c r="X2" s="34"/>
      <c r="Y2" s="35"/>
      <c r="Z2" s="36" t="s">
        <v>51</v>
      </c>
      <c r="AA2" s="29"/>
      <c r="AB2" s="29"/>
      <c r="AC2" s="29"/>
      <c r="AD2" s="29"/>
      <c r="AE2" s="29"/>
      <c r="AF2" s="37"/>
      <c r="AG2" s="36" t="s">
        <v>52</v>
      </c>
      <c r="AH2" s="29"/>
      <c r="AI2" s="29"/>
      <c r="AJ2" s="29"/>
      <c r="AK2" s="29"/>
      <c r="AL2" s="29"/>
      <c r="AM2" s="37"/>
      <c r="AN2" s="38"/>
      <c r="AO2" s="38"/>
      <c r="AP2" s="38"/>
      <c r="AQ2" s="38"/>
      <c r="AR2" s="38"/>
      <c r="AS2" s="38"/>
      <c r="AT2" s="38"/>
      <c r="AU2" s="38"/>
      <c r="AV2" s="38"/>
    </row>
    <row r="3" ht="18.75" customHeight="1">
      <c r="A3" s="39">
        <v>1.0</v>
      </c>
      <c r="B3" s="40" t="s">
        <v>53</v>
      </c>
      <c r="C3" s="41"/>
      <c r="D3" s="42">
        <v>45964.0</v>
      </c>
      <c r="E3" s="42">
        <v>45973.0</v>
      </c>
      <c r="F3" s="41">
        <f t="shared" ref="F3:F51" si="1">E3-D3+1</f>
        <v>10</v>
      </c>
      <c r="G3" s="42"/>
      <c r="H3" s="42"/>
      <c r="I3" s="41">
        <f t="shared" ref="I3:I51" si="2">H3-G3+1</f>
        <v>1</v>
      </c>
      <c r="J3" s="41">
        <f>sum(J4:J13)/COUNT(F4:F13)</f>
        <v>0</v>
      </c>
      <c r="K3" s="41" t="s">
        <v>54</v>
      </c>
      <c r="L3" s="43">
        <f t="shared" ref="L3:L5" si="3">J3</f>
        <v>0</v>
      </c>
      <c r="M3" s="29"/>
      <c r="N3" s="29"/>
      <c r="O3" s="29"/>
      <c r="P3" s="29"/>
      <c r="Q3" s="29"/>
      <c r="R3" s="29"/>
      <c r="S3" s="29"/>
      <c r="T3" s="29"/>
      <c r="U3" s="37"/>
      <c r="V3" s="44" t="s">
        <v>55</v>
      </c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4"/>
      <c r="AM3" s="46"/>
      <c r="AN3" s="46"/>
      <c r="AO3" s="46"/>
      <c r="AP3" s="46"/>
      <c r="AQ3" s="46"/>
      <c r="AR3" s="46"/>
      <c r="AS3" s="46"/>
      <c r="AT3" s="46"/>
      <c r="AU3" s="46"/>
      <c r="AV3" s="46"/>
    </row>
    <row r="4" ht="18.75" customHeight="1">
      <c r="A4" s="47">
        <v>1.1</v>
      </c>
      <c r="B4" s="48" t="s">
        <v>56</v>
      </c>
      <c r="C4" s="49"/>
      <c r="D4" s="50">
        <v>45964.0</v>
      </c>
      <c r="E4" s="50">
        <v>45973.0</v>
      </c>
      <c r="F4" s="49">
        <f t="shared" si="1"/>
        <v>10</v>
      </c>
      <c r="G4" s="50"/>
      <c r="H4" s="50"/>
      <c r="I4" s="49">
        <f t="shared" si="2"/>
        <v>1</v>
      </c>
      <c r="J4" s="49">
        <f>sum(J5:J8)/COUNT(F5:F8)</f>
        <v>0</v>
      </c>
      <c r="K4" s="49" t="s">
        <v>54</v>
      </c>
      <c r="L4" s="51">
        <f t="shared" si="3"/>
        <v>0</v>
      </c>
      <c r="M4" s="29"/>
      <c r="N4" s="29"/>
      <c r="O4" s="29"/>
      <c r="P4" s="29"/>
      <c r="Q4" s="29"/>
      <c r="R4" s="29"/>
      <c r="S4" s="29"/>
      <c r="T4" s="29"/>
      <c r="U4" s="37"/>
      <c r="V4" s="52" t="s">
        <v>57</v>
      </c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5"/>
      <c r="AL4" s="45"/>
      <c r="AM4" s="46"/>
      <c r="AN4" s="46"/>
      <c r="AO4" s="46"/>
      <c r="AP4" s="46"/>
      <c r="AQ4" s="46"/>
      <c r="AR4" s="46"/>
      <c r="AS4" s="46"/>
      <c r="AT4" s="46"/>
      <c r="AU4" s="46"/>
      <c r="AV4" s="46"/>
    </row>
    <row r="5" ht="18.75" customHeight="1">
      <c r="A5" s="47" t="s">
        <v>58</v>
      </c>
      <c r="B5" s="48" t="s">
        <v>59</v>
      </c>
      <c r="C5" s="49" t="s">
        <v>60</v>
      </c>
      <c r="D5" s="50">
        <v>45964.0</v>
      </c>
      <c r="E5" s="50">
        <v>45971.0</v>
      </c>
      <c r="F5" s="49">
        <f t="shared" si="1"/>
        <v>8</v>
      </c>
      <c r="G5" s="50"/>
      <c r="H5" s="50"/>
      <c r="I5" s="49">
        <f t="shared" si="2"/>
        <v>1</v>
      </c>
      <c r="J5" s="49"/>
      <c r="K5" s="49" t="s">
        <v>54</v>
      </c>
      <c r="L5" s="53" t="str">
        <f t="shared" si="3"/>
        <v/>
      </c>
      <c r="M5" s="29"/>
      <c r="N5" s="29"/>
      <c r="O5" s="29"/>
      <c r="P5" s="29"/>
      <c r="Q5" s="29"/>
      <c r="R5" s="29"/>
      <c r="S5" s="29"/>
      <c r="T5" s="29"/>
      <c r="U5" s="37"/>
      <c r="V5" s="54" t="s">
        <v>61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5"/>
      <c r="AL5" s="45"/>
      <c r="AM5" s="46"/>
      <c r="AN5" s="46"/>
      <c r="AO5" s="46"/>
      <c r="AP5" s="46"/>
      <c r="AQ5" s="46"/>
      <c r="AR5" s="46"/>
      <c r="AS5" s="46"/>
      <c r="AT5" s="46"/>
      <c r="AU5" s="46"/>
      <c r="AV5" s="46"/>
    </row>
    <row r="6" ht="18.75" customHeight="1">
      <c r="A6" s="47" t="s">
        <v>62</v>
      </c>
      <c r="B6" s="48" t="s">
        <v>63</v>
      </c>
      <c r="C6" s="49" t="s">
        <v>64</v>
      </c>
      <c r="D6" s="50">
        <v>45972.0</v>
      </c>
      <c r="E6" s="50">
        <v>45973.0</v>
      </c>
      <c r="F6" s="49">
        <f t="shared" si="1"/>
        <v>2</v>
      </c>
      <c r="G6" s="50"/>
      <c r="H6" s="50"/>
      <c r="I6" s="49">
        <f t="shared" si="2"/>
        <v>1</v>
      </c>
      <c r="J6" s="49"/>
      <c r="K6" s="49" t="s">
        <v>54</v>
      </c>
      <c r="L6" s="55"/>
      <c r="M6" s="44"/>
      <c r="N6" s="44"/>
      <c r="O6" s="44"/>
      <c r="P6" s="44"/>
      <c r="Q6" s="44"/>
      <c r="R6" s="44"/>
      <c r="S6" s="44"/>
      <c r="T6" s="56" t="str">
        <f t="shared" ref="T6:T13" si="4">J6</f>
        <v/>
      </c>
      <c r="U6" s="37"/>
      <c r="V6" s="54" t="s">
        <v>65</v>
      </c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5"/>
      <c r="AL6" s="45"/>
      <c r="AM6" s="46"/>
      <c r="AN6" s="46"/>
      <c r="AO6" s="46"/>
      <c r="AP6" s="46"/>
      <c r="AQ6" s="46"/>
      <c r="AR6" s="46"/>
      <c r="AS6" s="46"/>
      <c r="AT6" s="46"/>
      <c r="AU6" s="46"/>
      <c r="AV6" s="46"/>
    </row>
    <row r="7" ht="18.75" customHeight="1">
      <c r="A7" s="47" t="s">
        <v>66</v>
      </c>
      <c r="B7" s="48" t="s">
        <v>67</v>
      </c>
      <c r="C7" s="49" t="s">
        <v>64</v>
      </c>
      <c r="D7" s="50">
        <v>45972.0</v>
      </c>
      <c r="E7" s="50">
        <v>45973.0</v>
      </c>
      <c r="F7" s="49">
        <f t="shared" si="1"/>
        <v>2</v>
      </c>
      <c r="G7" s="50"/>
      <c r="H7" s="50"/>
      <c r="I7" s="49">
        <f t="shared" si="2"/>
        <v>1</v>
      </c>
      <c r="J7" s="49"/>
      <c r="K7" s="49" t="s">
        <v>54</v>
      </c>
      <c r="L7" s="55"/>
      <c r="M7" s="44"/>
      <c r="N7" s="44"/>
      <c r="O7" s="44"/>
      <c r="P7" s="44"/>
      <c r="Q7" s="44"/>
      <c r="R7" s="44"/>
      <c r="S7" s="44"/>
      <c r="T7" s="56" t="str">
        <f t="shared" si="4"/>
        <v/>
      </c>
      <c r="U7" s="37"/>
      <c r="V7" s="54" t="s">
        <v>68</v>
      </c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5"/>
      <c r="AL7" s="45"/>
      <c r="AM7" s="46"/>
      <c r="AN7" s="46"/>
      <c r="AO7" s="46"/>
      <c r="AP7" s="46"/>
      <c r="AQ7" s="46"/>
      <c r="AR7" s="46"/>
      <c r="AS7" s="46"/>
      <c r="AT7" s="46"/>
      <c r="AU7" s="46"/>
      <c r="AV7" s="46"/>
    </row>
    <row r="8" ht="18.75" customHeight="1">
      <c r="A8" s="47" t="s">
        <v>69</v>
      </c>
      <c r="B8" s="48" t="s">
        <v>70</v>
      </c>
      <c r="C8" s="49" t="s">
        <v>64</v>
      </c>
      <c r="D8" s="50">
        <v>45972.0</v>
      </c>
      <c r="E8" s="50">
        <v>45973.0</v>
      </c>
      <c r="F8" s="49">
        <f t="shared" si="1"/>
        <v>2</v>
      </c>
      <c r="G8" s="50"/>
      <c r="H8" s="50"/>
      <c r="I8" s="49">
        <f t="shared" si="2"/>
        <v>1</v>
      </c>
      <c r="J8" s="49"/>
      <c r="K8" s="49" t="s">
        <v>54</v>
      </c>
      <c r="L8" s="55"/>
      <c r="M8" s="44"/>
      <c r="N8" s="44"/>
      <c r="O8" s="44"/>
      <c r="P8" s="44"/>
      <c r="Q8" s="44"/>
      <c r="R8" s="44"/>
      <c r="S8" s="44"/>
      <c r="T8" s="56" t="str">
        <f t="shared" si="4"/>
        <v/>
      </c>
      <c r="U8" s="37"/>
      <c r="V8" s="54" t="s">
        <v>71</v>
      </c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5"/>
      <c r="AL8" s="45"/>
      <c r="AM8" s="46"/>
      <c r="AN8" s="46"/>
      <c r="AO8" s="46"/>
      <c r="AP8" s="46"/>
      <c r="AQ8" s="46"/>
      <c r="AR8" s="46"/>
      <c r="AS8" s="46"/>
      <c r="AT8" s="46"/>
      <c r="AU8" s="46"/>
      <c r="AV8" s="46"/>
    </row>
    <row r="9" ht="18.75" customHeight="1">
      <c r="A9" s="47">
        <v>1.2</v>
      </c>
      <c r="B9" s="48" t="s">
        <v>72</v>
      </c>
      <c r="C9" s="49"/>
      <c r="D9" s="50">
        <v>45972.0</v>
      </c>
      <c r="E9" s="50">
        <v>45973.0</v>
      </c>
      <c r="F9" s="49">
        <f t="shared" si="1"/>
        <v>2</v>
      </c>
      <c r="G9" s="50"/>
      <c r="H9" s="50"/>
      <c r="I9" s="49">
        <f t="shared" si="2"/>
        <v>1</v>
      </c>
      <c r="J9" s="49">
        <f>sum(J10:J13)/COUNT(F10:F13)</f>
        <v>0</v>
      </c>
      <c r="K9" s="49" t="s">
        <v>54</v>
      </c>
      <c r="L9" s="55"/>
      <c r="M9" s="44"/>
      <c r="N9" s="44"/>
      <c r="O9" s="44"/>
      <c r="P9" s="44"/>
      <c r="Q9" s="44"/>
      <c r="R9" s="44"/>
      <c r="S9" s="44"/>
      <c r="T9" s="56">
        <f t="shared" si="4"/>
        <v>0</v>
      </c>
      <c r="U9" s="37"/>
      <c r="V9" s="54" t="s">
        <v>73</v>
      </c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5"/>
      <c r="AL9" s="45"/>
      <c r="AM9" s="46"/>
      <c r="AN9" s="46"/>
      <c r="AO9" s="46"/>
      <c r="AP9" s="46"/>
      <c r="AQ9" s="46"/>
      <c r="AR9" s="46"/>
      <c r="AS9" s="46"/>
      <c r="AT9" s="46"/>
      <c r="AU9" s="46"/>
      <c r="AV9" s="46"/>
    </row>
    <row r="10" ht="18.75" customHeight="1">
      <c r="A10" s="47" t="s">
        <v>74</v>
      </c>
      <c r="B10" s="48" t="s">
        <v>75</v>
      </c>
      <c r="C10" s="49" t="s">
        <v>76</v>
      </c>
      <c r="D10" s="50">
        <v>45972.0</v>
      </c>
      <c r="E10" s="50">
        <v>45973.0</v>
      </c>
      <c r="F10" s="49">
        <f t="shared" si="1"/>
        <v>2</v>
      </c>
      <c r="G10" s="50"/>
      <c r="H10" s="50"/>
      <c r="I10" s="49">
        <f t="shared" si="2"/>
        <v>1</v>
      </c>
      <c r="J10" s="49"/>
      <c r="K10" s="49" t="s">
        <v>54</v>
      </c>
      <c r="L10" s="57"/>
      <c r="M10" s="45"/>
      <c r="N10" s="45"/>
      <c r="O10" s="45"/>
      <c r="P10" s="45"/>
      <c r="Q10" s="45"/>
      <c r="R10" s="45"/>
      <c r="S10" s="45"/>
      <c r="T10" s="56" t="str">
        <f t="shared" si="4"/>
        <v/>
      </c>
      <c r="U10" s="37"/>
      <c r="V10" s="54" t="s">
        <v>77</v>
      </c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4"/>
      <c r="AL10" s="44"/>
      <c r="AM10" s="46"/>
      <c r="AN10" s="46"/>
      <c r="AO10" s="46"/>
      <c r="AP10" s="46"/>
      <c r="AQ10" s="46"/>
      <c r="AR10" s="46"/>
      <c r="AS10" s="46"/>
      <c r="AT10" s="46"/>
      <c r="AU10" s="46"/>
      <c r="AV10" s="46"/>
    </row>
    <row r="11" ht="18.75" customHeight="1">
      <c r="A11" s="47" t="s">
        <v>78</v>
      </c>
      <c r="B11" s="48" t="s">
        <v>79</v>
      </c>
      <c r="C11" s="49" t="s">
        <v>80</v>
      </c>
      <c r="D11" s="50">
        <v>45972.0</v>
      </c>
      <c r="E11" s="50">
        <v>45973.0</v>
      </c>
      <c r="F11" s="49">
        <f t="shared" si="1"/>
        <v>2</v>
      </c>
      <c r="G11" s="50"/>
      <c r="H11" s="50"/>
      <c r="I11" s="49">
        <f t="shared" si="2"/>
        <v>1</v>
      </c>
      <c r="J11" s="49"/>
      <c r="K11" s="49" t="s">
        <v>54</v>
      </c>
      <c r="L11" s="57"/>
      <c r="M11" s="45"/>
      <c r="N11" s="45"/>
      <c r="O11" s="45"/>
      <c r="P11" s="45"/>
      <c r="Q11" s="45"/>
      <c r="R11" s="45"/>
      <c r="S11" s="45"/>
      <c r="T11" s="56" t="str">
        <f t="shared" si="4"/>
        <v/>
      </c>
      <c r="U11" s="37"/>
      <c r="V11" s="54" t="s">
        <v>81</v>
      </c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4"/>
      <c r="AL11" s="44"/>
      <c r="AM11" s="46"/>
      <c r="AN11" s="46"/>
      <c r="AO11" s="46"/>
      <c r="AP11" s="46"/>
      <c r="AQ11" s="46"/>
      <c r="AR11" s="46"/>
      <c r="AS11" s="46"/>
      <c r="AT11" s="46"/>
      <c r="AU11" s="46"/>
      <c r="AV11" s="46"/>
    </row>
    <row r="12" ht="18.75" customHeight="1">
      <c r="A12" s="47" t="s">
        <v>82</v>
      </c>
      <c r="B12" s="48" t="s">
        <v>83</v>
      </c>
      <c r="C12" s="49" t="s">
        <v>80</v>
      </c>
      <c r="D12" s="50">
        <v>45972.0</v>
      </c>
      <c r="E12" s="50">
        <v>45973.0</v>
      </c>
      <c r="F12" s="49">
        <f t="shared" si="1"/>
        <v>2</v>
      </c>
      <c r="G12" s="50"/>
      <c r="H12" s="50"/>
      <c r="I12" s="49">
        <f t="shared" si="2"/>
        <v>1</v>
      </c>
      <c r="J12" s="49"/>
      <c r="K12" s="49" t="s">
        <v>54</v>
      </c>
      <c r="L12" s="57"/>
      <c r="M12" s="45"/>
      <c r="N12" s="45"/>
      <c r="O12" s="45"/>
      <c r="P12" s="45"/>
      <c r="Q12" s="45"/>
      <c r="R12" s="45"/>
      <c r="S12" s="45"/>
      <c r="T12" s="56" t="str">
        <f t="shared" si="4"/>
        <v/>
      </c>
      <c r="U12" s="37"/>
      <c r="V12" s="54" t="s">
        <v>84</v>
      </c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4"/>
      <c r="AL12" s="44"/>
      <c r="AM12" s="46"/>
      <c r="AN12" s="46"/>
      <c r="AO12" s="46"/>
      <c r="AP12" s="46"/>
      <c r="AQ12" s="46"/>
      <c r="AR12" s="46"/>
      <c r="AS12" s="46"/>
      <c r="AT12" s="46"/>
      <c r="AU12" s="46"/>
      <c r="AV12" s="46"/>
    </row>
    <row r="13" ht="18.75" customHeight="1">
      <c r="A13" s="47" t="s">
        <v>85</v>
      </c>
      <c r="B13" s="48" t="s">
        <v>86</v>
      </c>
      <c r="C13" s="49" t="s">
        <v>64</v>
      </c>
      <c r="D13" s="50">
        <v>45972.0</v>
      </c>
      <c r="E13" s="50">
        <v>45973.0</v>
      </c>
      <c r="F13" s="49">
        <f t="shared" si="1"/>
        <v>2</v>
      </c>
      <c r="G13" s="50"/>
      <c r="H13" s="50"/>
      <c r="I13" s="49">
        <f t="shared" si="2"/>
        <v>1</v>
      </c>
      <c r="J13" s="49"/>
      <c r="K13" s="49" t="s">
        <v>54</v>
      </c>
      <c r="L13" s="57"/>
      <c r="M13" s="45"/>
      <c r="N13" s="45"/>
      <c r="O13" s="45"/>
      <c r="P13" s="45"/>
      <c r="Q13" s="45"/>
      <c r="R13" s="45"/>
      <c r="S13" s="45"/>
      <c r="T13" s="56" t="str">
        <f t="shared" si="4"/>
        <v/>
      </c>
      <c r="U13" s="37"/>
      <c r="V13" s="54" t="s">
        <v>87</v>
      </c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4"/>
      <c r="AL13" s="44"/>
      <c r="AM13" s="46"/>
      <c r="AN13" s="46"/>
      <c r="AO13" s="46"/>
      <c r="AP13" s="46"/>
      <c r="AQ13" s="46"/>
      <c r="AR13" s="46"/>
      <c r="AS13" s="46"/>
      <c r="AT13" s="46"/>
      <c r="AU13" s="46"/>
      <c r="AV13" s="46"/>
    </row>
    <row r="14" ht="18.75" customHeight="1">
      <c r="A14" s="39">
        <v>2.0</v>
      </c>
      <c r="B14" s="40" t="s">
        <v>88</v>
      </c>
      <c r="C14" s="41"/>
      <c r="D14" s="42">
        <v>45973.0</v>
      </c>
      <c r="E14" s="42">
        <v>45979.0</v>
      </c>
      <c r="F14" s="41">
        <f t="shared" si="1"/>
        <v>7</v>
      </c>
      <c r="G14" s="42"/>
      <c r="H14" s="42"/>
      <c r="I14" s="41">
        <f t="shared" si="2"/>
        <v>1</v>
      </c>
      <c r="J14" s="58">
        <f>sum(J15:J29)/COUNT(F15:F29)</f>
        <v>0</v>
      </c>
      <c r="K14" s="41" t="s">
        <v>54</v>
      </c>
      <c r="L14" s="59"/>
      <c r="M14" s="54"/>
      <c r="N14" s="54"/>
      <c r="O14" s="54"/>
      <c r="P14" s="54"/>
      <c r="Q14" s="54"/>
      <c r="R14" s="54"/>
      <c r="S14" s="54"/>
      <c r="T14" s="54"/>
      <c r="U14" s="60">
        <f t="shared" ref="U14:U17" si="5">J14</f>
        <v>0</v>
      </c>
      <c r="V14" s="29"/>
      <c r="W14" s="29"/>
      <c r="X14" s="29"/>
      <c r="Y14" s="29"/>
      <c r="Z14" s="29"/>
      <c r="AA14" s="37"/>
      <c r="AB14" s="61" t="s">
        <v>89</v>
      </c>
      <c r="AC14" s="44"/>
      <c r="AD14" s="44"/>
      <c r="AE14" s="44"/>
      <c r="AF14" s="44"/>
      <c r="AG14" s="44"/>
      <c r="AH14" s="44"/>
      <c r="AI14" s="44"/>
      <c r="AJ14" s="44"/>
      <c r="AK14" s="45"/>
      <c r="AL14" s="44"/>
      <c r="AM14" s="46"/>
      <c r="AN14" s="46"/>
      <c r="AO14" s="46"/>
      <c r="AP14" s="46"/>
      <c r="AQ14" s="46"/>
      <c r="AR14" s="46"/>
      <c r="AS14" s="46"/>
      <c r="AT14" s="46"/>
      <c r="AU14" s="46"/>
      <c r="AV14" s="46"/>
    </row>
    <row r="15" ht="18.75" customHeight="1">
      <c r="A15" s="47">
        <v>2.1</v>
      </c>
      <c r="B15" s="48" t="s">
        <v>90</v>
      </c>
      <c r="C15" s="49"/>
      <c r="D15" s="50">
        <v>45973.0</v>
      </c>
      <c r="E15" s="50">
        <v>45975.0</v>
      </c>
      <c r="F15" s="49">
        <f t="shared" si="1"/>
        <v>3</v>
      </c>
      <c r="G15" s="50"/>
      <c r="H15" s="50"/>
      <c r="I15" s="49">
        <f t="shared" si="2"/>
        <v>1</v>
      </c>
      <c r="J15" s="49"/>
      <c r="K15" s="49" t="s">
        <v>54</v>
      </c>
      <c r="L15" s="57"/>
      <c r="M15" s="45"/>
      <c r="N15" s="45"/>
      <c r="O15" s="45"/>
      <c r="P15" s="45"/>
      <c r="Q15" s="45"/>
      <c r="R15" s="45"/>
      <c r="S15" s="45"/>
      <c r="T15" s="45"/>
      <c r="U15" s="51" t="str">
        <f t="shared" si="5"/>
        <v/>
      </c>
      <c r="V15" s="29"/>
      <c r="W15" s="37"/>
      <c r="X15" s="54" t="s">
        <v>91</v>
      </c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4"/>
      <c r="AL15" s="44"/>
      <c r="AM15" s="46"/>
      <c r="AN15" s="46"/>
      <c r="AO15" s="46"/>
      <c r="AP15" s="46"/>
      <c r="AQ15" s="46"/>
      <c r="AR15" s="46"/>
      <c r="AS15" s="46"/>
      <c r="AT15" s="46"/>
      <c r="AU15" s="46"/>
      <c r="AV15" s="46"/>
    </row>
    <row r="16" ht="18.75" customHeight="1">
      <c r="A16" s="47" t="s">
        <v>92</v>
      </c>
      <c r="B16" s="48" t="s">
        <v>93</v>
      </c>
      <c r="C16" s="49" t="s">
        <v>76</v>
      </c>
      <c r="D16" s="50">
        <v>45973.0</v>
      </c>
      <c r="E16" s="50">
        <v>45974.0</v>
      </c>
      <c r="F16" s="49">
        <f t="shared" si="1"/>
        <v>2</v>
      </c>
      <c r="G16" s="50"/>
      <c r="H16" s="50"/>
      <c r="I16" s="49">
        <f t="shared" si="2"/>
        <v>1</v>
      </c>
      <c r="J16" s="49"/>
      <c r="K16" s="49" t="s">
        <v>54</v>
      </c>
      <c r="L16" s="57"/>
      <c r="M16" s="45"/>
      <c r="N16" s="45"/>
      <c r="O16" s="45"/>
      <c r="P16" s="45"/>
      <c r="Q16" s="45"/>
      <c r="R16" s="45"/>
      <c r="S16" s="45"/>
      <c r="T16" s="45"/>
      <c r="U16" s="56" t="str">
        <f t="shared" si="5"/>
        <v/>
      </c>
      <c r="V16" s="37"/>
      <c r="W16" s="54" t="s">
        <v>94</v>
      </c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4"/>
      <c r="AM16" s="46"/>
      <c r="AN16" s="46"/>
      <c r="AO16" s="46"/>
      <c r="AP16" s="46"/>
      <c r="AQ16" s="46"/>
      <c r="AR16" s="46"/>
      <c r="AS16" s="46"/>
      <c r="AT16" s="46"/>
      <c r="AU16" s="46"/>
      <c r="AV16" s="46"/>
    </row>
    <row r="17" ht="18.75" customHeight="1">
      <c r="A17" s="47" t="s">
        <v>95</v>
      </c>
      <c r="B17" s="48" t="s">
        <v>96</v>
      </c>
      <c r="C17" s="49" t="s">
        <v>97</v>
      </c>
      <c r="D17" s="50">
        <v>45973.0</v>
      </c>
      <c r="E17" s="50">
        <v>45974.0</v>
      </c>
      <c r="F17" s="49">
        <f t="shared" si="1"/>
        <v>2</v>
      </c>
      <c r="G17" s="50"/>
      <c r="H17" s="50"/>
      <c r="I17" s="49">
        <f t="shared" si="2"/>
        <v>1</v>
      </c>
      <c r="J17" s="49"/>
      <c r="K17" s="49" t="s">
        <v>54</v>
      </c>
      <c r="L17" s="57"/>
      <c r="M17" s="45"/>
      <c r="N17" s="45"/>
      <c r="O17" s="45"/>
      <c r="P17" s="45"/>
      <c r="Q17" s="45"/>
      <c r="R17" s="45"/>
      <c r="S17" s="45"/>
      <c r="T17" s="45"/>
      <c r="U17" s="56" t="str">
        <f t="shared" si="5"/>
        <v/>
      </c>
      <c r="V17" s="37"/>
      <c r="W17" s="54" t="s">
        <v>98</v>
      </c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4"/>
      <c r="AM17" s="62"/>
      <c r="AN17" s="62"/>
      <c r="AO17" s="62"/>
      <c r="AP17" s="62"/>
      <c r="AQ17" s="62"/>
      <c r="AR17" s="62"/>
      <c r="AS17" s="62"/>
      <c r="AT17" s="62"/>
      <c r="AU17" s="62"/>
      <c r="AV17" s="62"/>
    </row>
    <row r="18" ht="18.75" customHeight="1">
      <c r="A18" s="47" t="s">
        <v>99</v>
      </c>
      <c r="B18" s="48" t="s">
        <v>100</v>
      </c>
      <c r="C18" s="49" t="s">
        <v>76</v>
      </c>
      <c r="D18" s="50">
        <v>45975.0</v>
      </c>
      <c r="E18" s="50">
        <v>45975.0</v>
      </c>
      <c r="F18" s="49">
        <f t="shared" si="1"/>
        <v>1</v>
      </c>
      <c r="G18" s="50"/>
      <c r="H18" s="50"/>
      <c r="I18" s="49">
        <f t="shared" si="2"/>
        <v>1</v>
      </c>
      <c r="J18" s="49"/>
      <c r="K18" s="49" t="s">
        <v>54</v>
      </c>
      <c r="L18" s="57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63" t="str">
        <f t="shared" ref="W18:W19" si="6">J18</f>
        <v/>
      </c>
      <c r="X18" s="54" t="s">
        <v>101</v>
      </c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62"/>
      <c r="AN18" s="62"/>
      <c r="AO18" s="62"/>
      <c r="AP18" s="62"/>
      <c r="AQ18" s="62"/>
      <c r="AR18" s="62"/>
      <c r="AS18" s="62"/>
      <c r="AT18" s="62"/>
      <c r="AU18" s="62"/>
      <c r="AV18" s="62"/>
    </row>
    <row r="19" ht="18.75" customHeight="1">
      <c r="A19" s="47" t="s">
        <v>102</v>
      </c>
      <c r="B19" s="48" t="s">
        <v>103</v>
      </c>
      <c r="C19" s="49" t="s">
        <v>64</v>
      </c>
      <c r="D19" s="50">
        <v>45975.0</v>
      </c>
      <c r="E19" s="50">
        <v>45975.0</v>
      </c>
      <c r="F19" s="49">
        <f t="shared" si="1"/>
        <v>1</v>
      </c>
      <c r="G19" s="50"/>
      <c r="H19" s="50"/>
      <c r="I19" s="49">
        <f t="shared" si="2"/>
        <v>1</v>
      </c>
      <c r="J19" s="49"/>
      <c r="K19" s="49" t="s">
        <v>54</v>
      </c>
      <c r="L19" s="57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63" t="str">
        <f t="shared" si="6"/>
        <v/>
      </c>
      <c r="X19" s="54" t="s">
        <v>104</v>
      </c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62"/>
      <c r="AN19" s="62"/>
      <c r="AO19" s="62"/>
      <c r="AP19" s="62"/>
      <c r="AQ19" s="62"/>
      <c r="AR19" s="62"/>
      <c r="AS19" s="62"/>
      <c r="AT19" s="62"/>
      <c r="AU19" s="62"/>
      <c r="AV19" s="62"/>
    </row>
    <row r="20" ht="18.75" customHeight="1">
      <c r="A20" s="47">
        <v>2.2</v>
      </c>
      <c r="B20" s="48" t="s">
        <v>105</v>
      </c>
      <c r="C20" s="49"/>
      <c r="D20" s="50">
        <v>45978.0</v>
      </c>
      <c r="E20" s="50">
        <v>45979.0</v>
      </c>
      <c r="F20" s="49">
        <f t="shared" si="1"/>
        <v>2</v>
      </c>
      <c r="G20" s="50"/>
      <c r="H20" s="50"/>
      <c r="I20" s="49">
        <f t="shared" si="2"/>
        <v>1</v>
      </c>
      <c r="J20" s="49"/>
      <c r="K20" s="49" t="s">
        <v>54</v>
      </c>
      <c r="L20" s="57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51" t="str">
        <f t="shared" ref="Z20:Z22" si="7">J20</f>
        <v/>
      </c>
      <c r="AA20" s="37"/>
      <c r="AB20" s="54" t="s">
        <v>106</v>
      </c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62"/>
      <c r="AN20" s="62"/>
      <c r="AO20" s="62"/>
      <c r="AP20" s="62"/>
      <c r="AQ20" s="62"/>
      <c r="AR20" s="62"/>
      <c r="AS20" s="62"/>
      <c r="AT20" s="62"/>
      <c r="AU20" s="62"/>
      <c r="AV20" s="62"/>
    </row>
    <row r="21" ht="18.75" customHeight="1">
      <c r="A21" s="47" t="s">
        <v>107</v>
      </c>
      <c r="B21" s="48" t="s">
        <v>108</v>
      </c>
      <c r="C21" s="49" t="s">
        <v>80</v>
      </c>
      <c r="D21" s="50">
        <v>45978.0</v>
      </c>
      <c r="E21" s="50">
        <v>45978.0</v>
      </c>
      <c r="F21" s="49">
        <f t="shared" si="1"/>
        <v>1</v>
      </c>
      <c r="G21" s="50"/>
      <c r="H21" s="50"/>
      <c r="I21" s="49">
        <f t="shared" si="2"/>
        <v>1</v>
      </c>
      <c r="J21" s="49"/>
      <c r="K21" s="49" t="s">
        <v>54</v>
      </c>
      <c r="L21" s="57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63" t="str">
        <f t="shared" si="7"/>
        <v/>
      </c>
      <c r="AA21" s="54" t="s">
        <v>109</v>
      </c>
      <c r="AB21" s="64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</row>
    <row r="22" ht="18.75" customHeight="1">
      <c r="A22" s="47" t="s">
        <v>110</v>
      </c>
      <c r="B22" s="48" t="s">
        <v>111</v>
      </c>
      <c r="C22" s="49" t="s">
        <v>80</v>
      </c>
      <c r="D22" s="50">
        <v>45978.0</v>
      </c>
      <c r="E22" s="50">
        <v>45978.0</v>
      </c>
      <c r="F22" s="49">
        <f t="shared" si="1"/>
        <v>1</v>
      </c>
      <c r="G22" s="50"/>
      <c r="H22" s="50"/>
      <c r="I22" s="49">
        <f t="shared" si="2"/>
        <v>1</v>
      </c>
      <c r="J22" s="49"/>
      <c r="K22" s="49" t="s">
        <v>54</v>
      </c>
      <c r="L22" s="57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63" t="str">
        <f t="shared" si="7"/>
        <v/>
      </c>
      <c r="AA22" s="54" t="s">
        <v>112</v>
      </c>
      <c r="AB22" s="64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</row>
    <row r="23" ht="18.75" customHeight="1">
      <c r="A23" s="47" t="s">
        <v>113</v>
      </c>
      <c r="B23" s="48" t="s">
        <v>114</v>
      </c>
      <c r="C23" s="49" t="s">
        <v>80</v>
      </c>
      <c r="D23" s="50">
        <v>45978.0</v>
      </c>
      <c r="E23" s="50">
        <v>45978.0</v>
      </c>
      <c r="F23" s="49">
        <f t="shared" si="1"/>
        <v>1</v>
      </c>
      <c r="G23" s="50"/>
      <c r="H23" s="50"/>
      <c r="I23" s="49">
        <f t="shared" si="2"/>
        <v>1</v>
      </c>
      <c r="J23" s="49"/>
      <c r="K23" s="49" t="s">
        <v>54</v>
      </c>
      <c r="L23" s="57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56" t="str">
        <f>J25</f>
        <v/>
      </c>
      <c r="AA23" s="37"/>
      <c r="AB23" s="54" t="s">
        <v>115</v>
      </c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</row>
    <row r="24" ht="18.75" customHeight="1">
      <c r="A24" s="47" t="s">
        <v>116</v>
      </c>
      <c r="B24" s="48" t="s">
        <v>117</v>
      </c>
      <c r="C24" s="49" t="s">
        <v>64</v>
      </c>
      <c r="D24" s="50">
        <v>45978.0</v>
      </c>
      <c r="E24" s="50">
        <v>45979.0</v>
      </c>
      <c r="F24" s="49">
        <f t="shared" si="1"/>
        <v>2</v>
      </c>
      <c r="G24" s="50"/>
      <c r="H24" s="50"/>
      <c r="I24" s="49">
        <f t="shared" si="2"/>
        <v>1</v>
      </c>
      <c r="J24" s="49"/>
      <c r="K24" s="49" t="s">
        <v>54</v>
      </c>
      <c r="L24" s="57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56" t="str">
        <f t="shared" ref="Z24:Z29" si="8">J24</f>
        <v/>
      </c>
      <c r="AA24" s="37"/>
      <c r="AB24" s="54" t="s">
        <v>118</v>
      </c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</row>
    <row r="25" ht="18.75" customHeight="1">
      <c r="A25" s="47">
        <v>2.3</v>
      </c>
      <c r="B25" s="48" t="s">
        <v>119</v>
      </c>
      <c r="D25" s="50">
        <v>45978.0</v>
      </c>
      <c r="E25" s="50">
        <v>45979.0</v>
      </c>
      <c r="F25" s="49">
        <f t="shared" si="1"/>
        <v>2</v>
      </c>
      <c r="G25" s="50"/>
      <c r="H25" s="50"/>
      <c r="I25" s="49">
        <f t="shared" si="2"/>
        <v>1</v>
      </c>
      <c r="J25" s="49"/>
      <c r="K25" s="49" t="s">
        <v>54</v>
      </c>
      <c r="L25" s="57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56" t="str">
        <f t="shared" si="8"/>
        <v/>
      </c>
      <c r="AA25" s="37"/>
      <c r="AB25" s="54" t="s">
        <v>120</v>
      </c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</row>
    <row r="26" ht="18.75" customHeight="1">
      <c r="A26" s="47" t="s">
        <v>121</v>
      </c>
      <c r="B26" s="48" t="s">
        <v>122</v>
      </c>
      <c r="C26" s="49" t="s">
        <v>80</v>
      </c>
      <c r="D26" s="50">
        <v>45978.0</v>
      </c>
      <c r="E26" s="50">
        <v>45979.0</v>
      </c>
      <c r="F26" s="49">
        <f t="shared" si="1"/>
        <v>2</v>
      </c>
      <c r="G26" s="50"/>
      <c r="H26" s="50"/>
      <c r="I26" s="49">
        <f t="shared" si="2"/>
        <v>1</v>
      </c>
      <c r="J26" s="49"/>
      <c r="K26" s="49" t="s">
        <v>54</v>
      </c>
      <c r="L26" s="57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56" t="str">
        <f t="shared" si="8"/>
        <v/>
      </c>
      <c r="AA26" s="37"/>
      <c r="AB26" s="54" t="s">
        <v>123</v>
      </c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</row>
    <row r="27" ht="18.75" customHeight="1">
      <c r="A27" s="47" t="s">
        <v>124</v>
      </c>
      <c r="B27" s="48" t="s">
        <v>125</v>
      </c>
      <c r="C27" s="49" t="s">
        <v>80</v>
      </c>
      <c r="D27" s="50">
        <v>45978.0</v>
      </c>
      <c r="E27" s="50">
        <v>45979.0</v>
      </c>
      <c r="F27" s="49">
        <f t="shared" si="1"/>
        <v>2</v>
      </c>
      <c r="G27" s="50"/>
      <c r="H27" s="50"/>
      <c r="I27" s="49">
        <f t="shared" si="2"/>
        <v>1</v>
      </c>
      <c r="J27" s="49"/>
      <c r="K27" s="49" t="s">
        <v>54</v>
      </c>
      <c r="L27" s="57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56" t="str">
        <f t="shared" si="8"/>
        <v/>
      </c>
      <c r="AA27" s="37"/>
      <c r="AB27" s="54" t="s">
        <v>126</v>
      </c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</row>
    <row r="28" ht="18.75" customHeight="1">
      <c r="A28" s="47" t="s">
        <v>127</v>
      </c>
      <c r="B28" s="48" t="s">
        <v>128</v>
      </c>
      <c r="C28" s="49" t="s">
        <v>80</v>
      </c>
      <c r="D28" s="50">
        <v>45978.0</v>
      </c>
      <c r="E28" s="50">
        <v>45979.0</v>
      </c>
      <c r="F28" s="49">
        <f t="shared" si="1"/>
        <v>2</v>
      </c>
      <c r="G28" s="50"/>
      <c r="H28" s="50"/>
      <c r="I28" s="49">
        <f t="shared" si="2"/>
        <v>1</v>
      </c>
      <c r="J28" s="49"/>
      <c r="K28" s="49" t="s">
        <v>54</v>
      </c>
      <c r="L28" s="57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56" t="str">
        <f t="shared" si="8"/>
        <v/>
      </c>
      <c r="AA28" s="37"/>
      <c r="AB28" s="54" t="s">
        <v>129</v>
      </c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</row>
    <row r="29" ht="18.75" customHeight="1">
      <c r="A29" s="47" t="s">
        <v>130</v>
      </c>
      <c r="B29" s="48" t="s">
        <v>131</v>
      </c>
      <c r="C29" s="49" t="s">
        <v>80</v>
      </c>
      <c r="D29" s="50">
        <v>45978.0</v>
      </c>
      <c r="E29" s="50">
        <v>45979.0</v>
      </c>
      <c r="F29" s="49">
        <f t="shared" si="1"/>
        <v>2</v>
      </c>
      <c r="G29" s="50"/>
      <c r="H29" s="50"/>
      <c r="I29" s="49">
        <f t="shared" si="2"/>
        <v>1</v>
      </c>
      <c r="J29" s="49"/>
      <c r="K29" s="49" t="s">
        <v>54</v>
      </c>
      <c r="L29" s="57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56" t="str">
        <f t="shared" si="8"/>
        <v/>
      </c>
      <c r="AA29" s="37"/>
      <c r="AB29" s="54" t="s">
        <v>132</v>
      </c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</row>
    <row r="30" ht="18.75" customHeight="1">
      <c r="A30" s="39">
        <v>3.0</v>
      </c>
      <c r="B30" s="40" t="s">
        <v>133</v>
      </c>
      <c r="C30" s="41"/>
      <c r="D30" s="42">
        <v>45980.0</v>
      </c>
      <c r="E30" s="42">
        <v>45985.0</v>
      </c>
      <c r="F30" s="41">
        <f t="shared" si="1"/>
        <v>6</v>
      </c>
      <c r="G30" s="42"/>
      <c r="H30" s="42"/>
      <c r="I30" s="41">
        <f t="shared" si="2"/>
        <v>1</v>
      </c>
      <c r="J30" s="58">
        <f>sum(J31:J44)/COUNT(F31:F44)</f>
        <v>0</v>
      </c>
      <c r="K30" s="41" t="s">
        <v>54</v>
      </c>
      <c r="L30" s="59"/>
      <c r="M30" s="54"/>
      <c r="N30" s="54"/>
      <c r="O30" s="54"/>
      <c r="P30" s="54"/>
      <c r="Q30" s="54"/>
      <c r="R30" s="54"/>
      <c r="S30" s="54"/>
      <c r="T30" s="54"/>
      <c r="U30" s="54"/>
      <c r="V30" s="44"/>
      <c r="W30" s="44"/>
      <c r="X30" s="44"/>
      <c r="Y30" s="44"/>
      <c r="Z30" s="44"/>
      <c r="AA30" s="44"/>
      <c r="AB30" s="60">
        <f t="shared" ref="AB30:AB33" si="9">J30</f>
        <v>0</v>
      </c>
      <c r="AC30" s="29"/>
      <c r="AD30" s="29"/>
      <c r="AE30" s="29"/>
      <c r="AF30" s="29"/>
      <c r="AG30" s="37"/>
      <c r="AH30" s="44" t="s">
        <v>134</v>
      </c>
      <c r="AI30" s="44"/>
      <c r="AJ30" s="44"/>
      <c r="AK30" s="45"/>
      <c r="AL30" s="44"/>
      <c r="AM30" s="46"/>
      <c r="AN30" s="46"/>
      <c r="AO30" s="46"/>
      <c r="AP30" s="46"/>
      <c r="AQ30" s="46"/>
      <c r="AR30" s="46"/>
      <c r="AS30" s="46"/>
      <c r="AT30" s="46"/>
      <c r="AU30" s="46"/>
      <c r="AV30" s="46"/>
    </row>
    <row r="31" ht="18.75" customHeight="1">
      <c r="A31" s="65">
        <v>3.1</v>
      </c>
      <c r="B31" s="48" t="s">
        <v>135</v>
      </c>
      <c r="C31" s="49"/>
      <c r="D31" s="50">
        <v>45980.0</v>
      </c>
      <c r="E31" s="50">
        <v>45983.0</v>
      </c>
      <c r="F31" s="49">
        <f t="shared" si="1"/>
        <v>4</v>
      </c>
      <c r="G31" s="50"/>
      <c r="H31" s="50"/>
      <c r="I31" s="49">
        <f t="shared" si="2"/>
        <v>1</v>
      </c>
      <c r="J31" s="49"/>
      <c r="K31" s="49" t="s">
        <v>54</v>
      </c>
      <c r="L31" s="66"/>
      <c r="M31" s="67"/>
      <c r="N31" s="67"/>
      <c r="O31" s="67"/>
      <c r="P31" s="67"/>
      <c r="Q31" s="67"/>
      <c r="R31" s="67"/>
      <c r="S31" s="67"/>
      <c r="T31" s="67"/>
      <c r="U31" s="67"/>
      <c r="V31" s="45"/>
      <c r="W31" s="45"/>
      <c r="X31" s="45"/>
      <c r="Y31" s="45"/>
      <c r="Z31" s="45"/>
      <c r="AA31" s="45"/>
      <c r="AB31" s="51" t="str">
        <f t="shared" si="9"/>
        <v/>
      </c>
      <c r="AC31" s="29"/>
      <c r="AD31" s="29"/>
      <c r="AE31" s="37"/>
      <c r="AF31" s="54" t="s">
        <v>136</v>
      </c>
      <c r="AG31" s="45"/>
      <c r="AH31" s="45"/>
      <c r="AI31" s="45"/>
      <c r="AJ31" s="45"/>
      <c r="AK31" s="45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</row>
    <row r="32" ht="18.75" customHeight="1">
      <c r="A32" s="65" t="s">
        <v>137</v>
      </c>
      <c r="B32" s="48" t="s">
        <v>138</v>
      </c>
      <c r="C32" s="49" t="s">
        <v>139</v>
      </c>
      <c r="D32" s="50">
        <v>45980.0</v>
      </c>
      <c r="E32" s="50">
        <v>45980.0</v>
      </c>
      <c r="F32" s="49">
        <f t="shared" si="1"/>
        <v>1</v>
      </c>
      <c r="G32" s="50"/>
      <c r="H32" s="50"/>
      <c r="I32" s="49">
        <f t="shared" si="2"/>
        <v>1</v>
      </c>
      <c r="J32" s="49"/>
      <c r="K32" s="49" t="s">
        <v>54</v>
      </c>
      <c r="L32" s="66"/>
      <c r="M32" s="67"/>
      <c r="N32" s="67"/>
      <c r="O32" s="67"/>
      <c r="P32" s="67"/>
      <c r="Q32" s="67"/>
      <c r="R32" s="67"/>
      <c r="S32" s="67"/>
      <c r="T32" s="67"/>
      <c r="U32" s="67"/>
      <c r="V32" s="45"/>
      <c r="W32" s="45"/>
      <c r="X32" s="45"/>
      <c r="Y32" s="45"/>
      <c r="Z32" s="45"/>
      <c r="AA32" s="45"/>
      <c r="AB32" s="63" t="str">
        <f t="shared" si="9"/>
        <v/>
      </c>
      <c r="AC32" s="54" t="s">
        <v>140</v>
      </c>
      <c r="AD32" s="45"/>
      <c r="AE32" s="45"/>
      <c r="AF32" s="64"/>
      <c r="AG32" s="45"/>
      <c r="AH32" s="45"/>
      <c r="AI32" s="45"/>
      <c r="AJ32" s="45"/>
      <c r="AK32" s="45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</row>
    <row r="33" ht="18.75" customHeight="1">
      <c r="A33" s="65" t="s">
        <v>141</v>
      </c>
      <c r="B33" s="48" t="s">
        <v>142</v>
      </c>
      <c r="C33" s="49" t="s">
        <v>139</v>
      </c>
      <c r="D33" s="50">
        <v>45980.0</v>
      </c>
      <c r="E33" s="50">
        <v>45981.0</v>
      </c>
      <c r="F33" s="49">
        <f t="shared" si="1"/>
        <v>2</v>
      </c>
      <c r="G33" s="50"/>
      <c r="H33" s="50"/>
      <c r="I33" s="49">
        <f t="shared" si="2"/>
        <v>1</v>
      </c>
      <c r="J33" s="49"/>
      <c r="K33" s="49" t="s">
        <v>54</v>
      </c>
      <c r="L33" s="66"/>
      <c r="M33" s="67"/>
      <c r="N33" s="67"/>
      <c r="O33" s="67"/>
      <c r="P33" s="67"/>
      <c r="Q33" s="67"/>
      <c r="R33" s="67"/>
      <c r="S33" s="67"/>
      <c r="T33" s="67"/>
      <c r="U33" s="67"/>
      <c r="V33" s="45"/>
      <c r="W33" s="45"/>
      <c r="X33" s="45"/>
      <c r="Y33" s="45"/>
      <c r="Z33" s="45"/>
      <c r="AA33" s="45"/>
      <c r="AB33" s="56" t="str">
        <f t="shared" si="9"/>
        <v/>
      </c>
      <c r="AC33" s="37"/>
      <c r="AD33" s="54" t="s">
        <v>143</v>
      </c>
      <c r="AE33" s="45"/>
      <c r="AF33" s="64"/>
      <c r="AG33" s="45"/>
      <c r="AH33" s="45"/>
      <c r="AI33" s="45"/>
      <c r="AJ33" s="45"/>
      <c r="AK33" s="45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</row>
    <row r="34" ht="18.75" customHeight="1">
      <c r="A34" s="65" t="s">
        <v>144</v>
      </c>
      <c r="B34" s="48" t="s">
        <v>145</v>
      </c>
      <c r="C34" s="49" t="s">
        <v>139</v>
      </c>
      <c r="D34" s="50">
        <v>45981.0</v>
      </c>
      <c r="E34" s="50">
        <v>45982.0</v>
      </c>
      <c r="F34" s="49">
        <f t="shared" si="1"/>
        <v>2</v>
      </c>
      <c r="G34" s="50"/>
      <c r="H34" s="50"/>
      <c r="I34" s="49">
        <f t="shared" si="2"/>
        <v>1</v>
      </c>
      <c r="J34" s="49"/>
      <c r="K34" s="49" t="s">
        <v>54</v>
      </c>
      <c r="L34" s="66"/>
      <c r="M34" s="67"/>
      <c r="N34" s="67"/>
      <c r="O34" s="67"/>
      <c r="P34" s="67"/>
      <c r="Q34" s="67"/>
      <c r="R34" s="67"/>
      <c r="S34" s="67"/>
      <c r="T34" s="67"/>
      <c r="U34" s="67"/>
      <c r="V34" s="45"/>
      <c r="W34" s="45"/>
      <c r="X34" s="45"/>
      <c r="Y34" s="45"/>
      <c r="Z34" s="45"/>
      <c r="AA34" s="45"/>
      <c r="AB34" s="45"/>
      <c r="AC34" s="56" t="str">
        <f t="shared" ref="AC34:AC35" si="10">J34</f>
        <v/>
      </c>
      <c r="AD34" s="37"/>
      <c r="AE34" s="54" t="s">
        <v>146</v>
      </c>
      <c r="AF34" s="64"/>
      <c r="AG34" s="45"/>
      <c r="AH34" s="45"/>
      <c r="AI34" s="45"/>
      <c r="AJ34" s="45"/>
      <c r="AK34" s="45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</row>
    <row r="35" ht="18.75" customHeight="1">
      <c r="A35" s="65" t="s">
        <v>147</v>
      </c>
      <c r="B35" s="48" t="s">
        <v>148</v>
      </c>
      <c r="C35" s="49" t="s">
        <v>149</v>
      </c>
      <c r="D35" s="50">
        <v>45981.0</v>
      </c>
      <c r="E35" s="50">
        <v>45983.0</v>
      </c>
      <c r="F35" s="49">
        <f t="shared" si="1"/>
        <v>3</v>
      </c>
      <c r="G35" s="50"/>
      <c r="H35" s="50"/>
      <c r="I35" s="49">
        <f t="shared" si="2"/>
        <v>1</v>
      </c>
      <c r="J35" s="49"/>
      <c r="K35" s="49" t="s">
        <v>54</v>
      </c>
      <c r="L35" s="66"/>
      <c r="M35" s="67"/>
      <c r="N35" s="67"/>
      <c r="O35" s="67"/>
      <c r="P35" s="67"/>
      <c r="Q35" s="67"/>
      <c r="R35" s="67"/>
      <c r="S35" s="67"/>
      <c r="T35" s="67"/>
      <c r="U35" s="67"/>
      <c r="V35" s="45"/>
      <c r="W35" s="45"/>
      <c r="X35" s="45"/>
      <c r="Y35" s="45"/>
      <c r="Z35" s="45"/>
      <c r="AA35" s="67"/>
      <c r="AB35" s="45"/>
      <c r="AC35" s="56" t="str">
        <f t="shared" si="10"/>
        <v/>
      </c>
      <c r="AD35" s="29"/>
      <c r="AE35" s="37"/>
      <c r="AF35" s="54" t="s">
        <v>150</v>
      </c>
      <c r="AG35" s="67"/>
      <c r="AI35" s="45"/>
      <c r="AJ35" s="45"/>
      <c r="AK35" s="45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</row>
    <row r="36" ht="18.75" customHeight="1">
      <c r="A36" s="65">
        <v>3.2</v>
      </c>
      <c r="B36" s="48" t="s">
        <v>151</v>
      </c>
      <c r="C36" s="49"/>
      <c r="D36" s="50">
        <v>45980.0</v>
      </c>
      <c r="E36" s="50">
        <v>45985.0</v>
      </c>
      <c r="F36" s="49">
        <f t="shared" si="1"/>
        <v>6</v>
      </c>
      <c r="G36" s="50"/>
      <c r="H36" s="50"/>
      <c r="I36" s="49">
        <f t="shared" si="2"/>
        <v>1</v>
      </c>
      <c r="J36" s="49"/>
      <c r="K36" s="49" t="s">
        <v>54</v>
      </c>
      <c r="L36" s="68"/>
      <c r="M36" s="64"/>
      <c r="N36" s="64"/>
      <c r="O36" s="64"/>
      <c r="P36" s="64"/>
      <c r="Q36" s="64"/>
      <c r="R36" s="64"/>
      <c r="S36" s="64"/>
      <c r="T36" s="64"/>
      <c r="U36" s="64"/>
      <c r="V36" s="69"/>
      <c r="W36" s="69"/>
      <c r="X36" s="69"/>
      <c r="Y36" s="69"/>
      <c r="Z36" s="69"/>
      <c r="AA36" s="69"/>
      <c r="AB36" s="51" t="str">
        <f t="shared" ref="AB36:AB40" si="11">J36</f>
        <v/>
      </c>
      <c r="AC36" s="29"/>
      <c r="AD36" s="29"/>
      <c r="AE36" s="29"/>
      <c r="AF36" s="29"/>
      <c r="AG36" s="37"/>
      <c r="AH36" s="54" t="s">
        <v>152</v>
      </c>
      <c r="AJ36" s="69"/>
      <c r="AK36" s="69"/>
      <c r="AL36" s="69"/>
      <c r="AM36" s="70"/>
      <c r="AN36" s="70"/>
      <c r="AO36" s="70"/>
      <c r="AP36" s="70"/>
      <c r="AQ36" s="70"/>
      <c r="AR36" s="70"/>
      <c r="AS36" s="70"/>
      <c r="AT36" s="70"/>
      <c r="AU36" s="70"/>
      <c r="AV36" s="70"/>
    </row>
    <row r="37" ht="18.75" customHeight="1">
      <c r="A37" s="65" t="s">
        <v>153</v>
      </c>
      <c r="B37" s="48" t="s">
        <v>154</v>
      </c>
      <c r="C37" s="49" t="s">
        <v>139</v>
      </c>
      <c r="D37" s="50">
        <v>45980.0</v>
      </c>
      <c r="E37" s="50">
        <v>45980.0</v>
      </c>
      <c r="F37" s="49">
        <f t="shared" si="1"/>
        <v>1</v>
      </c>
      <c r="G37" s="50"/>
      <c r="H37" s="50"/>
      <c r="I37" s="49">
        <f t="shared" si="2"/>
        <v>1</v>
      </c>
      <c r="J37" s="49"/>
      <c r="K37" s="49" t="s">
        <v>54</v>
      </c>
      <c r="L37" s="68"/>
      <c r="M37" s="64"/>
      <c r="N37" s="64"/>
      <c r="O37" s="64"/>
      <c r="P37" s="64"/>
      <c r="Q37" s="64"/>
      <c r="R37" s="64"/>
      <c r="S37" s="64"/>
      <c r="T37" s="64"/>
      <c r="U37" s="64"/>
      <c r="V37" s="69"/>
      <c r="W37" s="69"/>
      <c r="X37" s="69"/>
      <c r="Y37" s="69"/>
      <c r="Z37" s="69"/>
      <c r="AA37" s="69"/>
      <c r="AB37" s="63" t="str">
        <f t="shared" si="11"/>
        <v/>
      </c>
      <c r="AC37" s="54" t="s">
        <v>155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ht="18.75" customHeight="1">
      <c r="A38" s="65" t="s">
        <v>156</v>
      </c>
      <c r="B38" s="48" t="s">
        <v>157</v>
      </c>
      <c r="C38" s="49" t="s">
        <v>139</v>
      </c>
      <c r="D38" s="50">
        <v>45980.0</v>
      </c>
      <c r="E38" s="50">
        <v>45980.0</v>
      </c>
      <c r="F38" s="49">
        <f t="shared" si="1"/>
        <v>1</v>
      </c>
      <c r="G38" s="50"/>
      <c r="H38" s="50"/>
      <c r="I38" s="49">
        <f t="shared" si="2"/>
        <v>1</v>
      </c>
      <c r="J38" s="49"/>
      <c r="K38" s="49" t="s">
        <v>54</v>
      </c>
      <c r="L38" s="68"/>
      <c r="M38" s="64"/>
      <c r="N38" s="64"/>
      <c r="O38" s="64"/>
      <c r="P38" s="64"/>
      <c r="Q38" s="64"/>
      <c r="R38" s="64"/>
      <c r="S38" s="64"/>
      <c r="T38" s="64"/>
      <c r="U38" s="64"/>
      <c r="V38" s="69"/>
      <c r="W38" s="69"/>
      <c r="X38" s="69"/>
      <c r="Y38" s="69"/>
      <c r="Z38" s="69"/>
      <c r="AA38" s="69"/>
      <c r="AB38" s="63" t="str">
        <f t="shared" si="11"/>
        <v/>
      </c>
      <c r="AC38" s="54" t="s">
        <v>158</v>
      </c>
      <c r="AD38" s="69"/>
      <c r="AE38" s="69"/>
      <c r="AF38" s="69"/>
      <c r="AG38" s="69"/>
      <c r="AH38" s="69"/>
      <c r="AI38" s="69"/>
      <c r="AJ38" s="69"/>
      <c r="AK38" s="69"/>
      <c r="AL38" s="69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ht="18.75" customHeight="1">
      <c r="A39" s="65" t="s">
        <v>159</v>
      </c>
      <c r="B39" s="48" t="s">
        <v>160</v>
      </c>
      <c r="C39" s="49" t="s">
        <v>139</v>
      </c>
      <c r="D39" s="50">
        <v>45980.0</v>
      </c>
      <c r="E39" s="50">
        <v>45980.0</v>
      </c>
      <c r="F39" s="49">
        <f t="shared" si="1"/>
        <v>1</v>
      </c>
      <c r="G39" s="50"/>
      <c r="H39" s="50"/>
      <c r="I39" s="49">
        <f t="shared" si="2"/>
        <v>1</v>
      </c>
      <c r="J39" s="49"/>
      <c r="K39" s="49" t="s">
        <v>54</v>
      </c>
      <c r="L39" s="68"/>
      <c r="M39" s="64"/>
      <c r="N39" s="64"/>
      <c r="O39" s="64"/>
      <c r="P39" s="64"/>
      <c r="Q39" s="64"/>
      <c r="R39" s="64"/>
      <c r="S39" s="64"/>
      <c r="T39" s="64"/>
      <c r="U39" s="64"/>
      <c r="V39" s="69"/>
      <c r="W39" s="69"/>
      <c r="X39" s="69"/>
      <c r="Y39" s="69"/>
      <c r="Z39" s="69"/>
      <c r="AA39" s="69"/>
      <c r="AB39" s="63" t="str">
        <f t="shared" si="11"/>
        <v/>
      </c>
      <c r="AC39" s="54" t="s">
        <v>161</v>
      </c>
      <c r="AD39" s="69"/>
      <c r="AE39" s="69"/>
      <c r="AF39" s="69"/>
      <c r="AG39" s="69"/>
      <c r="AH39" s="69"/>
      <c r="AI39" s="69"/>
      <c r="AJ39" s="69"/>
      <c r="AK39" s="69"/>
      <c r="AL39" s="69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ht="18.75" customHeight="1">
      <c r="A40" s="65" t="s">
        <v>162</v>
      </c>
      <c r="B40" s="48" t="s">
        <v>163</v>
      </c>
      <c r="C40" s="49" t="s">
        <v>139</v>
      </c>
      <c r="D40" s="50">
        <v>45980.0</v>
      </c>
      <c r="E40" s="50">
        <v>45981.0</v>
      </c>
      <c r="F40" s="49">
        <f t="shared" si="1"/>
        <v>2</v>
      </c>
      <c r="G40" s="50"/>
      <c r="H40" s="50"/>
      <c r="I40" s="49">
        <f t="shared" si="2"/>
        <v>1</v>
      </c>
      <c r="J40" s="49"/>
      <c r="K40" s="49" t="s">
        <v>54</v>
      </c>
      <c r="L40" s="68"/>
      <c r="M40" s="64"/>
      <c r="N40" s="64"/>
      <c r="O40" s="64"/>
      <c r="P40" s="64"/>
      <c r="Q40" s="64"/>
      <c r="R40" s="64"/>
      <c r="S40" s="64"/>
      <c r="T40" s="64"/>
      <c r="U40" s="64"/>
      <c r="V40" s="69"/>
      <c r="W40" s="69"/>
      <c r="X40" s="69"/>
      <c r="Y40" s="69"/>
      <c r="Z40" s="69"/>
      <c r="AA40" s="69"/>
      <c r="AB40" s="56" t="str">
        <f t="shared" si="11"/>
        <v/>
      </c>
      <c r="AC40" s="37"/>
      <c r="AD40" s="54" t="s">
        <v>164</v>
      </c>
      <c r="AE40" s="69"/>
      <c r="AF40" s="69"/>
      <c r="AG40" s="69"/>
      <c r="AH40" s="69"/>
      <c r="AI40" s="69"/>
      <c r="AJ40" s="69"/>
      <c r="AK40" s="69"/>
      <c r="AL40" s="69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ht="18.75" customHeight="1">
      <c r="A41" s="65" t="s">
        <v>165</v>
      </c>
      <c r="B41" s="48" t="s">
        <v>166</v>
      </c>
      <c r="C41" s="49" t="s">
        <v>139</v>
      </c>
      <c r="D41" s="50">
        <v>45981.0</v>
      </c>
      <c r="E41" s="50">
        <v>45982.0</v>
      </c>
      <c r="F41" s="49">
        <f t="shared" si="1"/>
        <v>2</v>
      </c>
      <c r="G41" s="50"/>
      <c r="H41" s="50"/>
      <c r="I41" s="49">
        <f t="shared" si="2"/>
        <v>1</v>
      </c>
      <c r="J41" s="49"/>
      <c r="K41" s="49" t="s">
        <v>54</v>
      </c>
      <c r="L41" s="68"/>
      <c r="M41" s="64"/>
      <c r="N41" s="64"/>
      <c r="O41" s="64"/>
      <c r="P41" s="64"/>
      <c r="Q41" s="64"/>
      <c r="R41" s="64"/>
      <c r="S41" s="64"/>
      <c r="T41" s="64"/>
      <c r="U41" s="64"/>
      <c r="V41" s="69"/>
      <c r="W41" s="69"/>
      <c r="X41" s="69"/>
      <c r="Y41" s="69"/>
      <c r="Z41" s="69"/>
      <c r="AA41" s="69"/>
      <c r="AB41" s="69"/>
      <c r="AC41" s="56" t="str">
        <f t="shared" ref="AC41:AC42" si="12">J41</f>
        <v/>
      </c>
      <c r="AD41" s="37"/>
      <c r="AE41" s="54" t="s">
        <v>167</v>
      </c>
      <c r="AF41" s="69"/>
      <c r="AG41" s="69"/>
      <c r="AH41" s="69"/>
      <c r="AI41" s="69"/>
      <c r="AJ41" s="69"/>
      <c r="AK41" s="69"/>
      <c r="AL41" s="69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ht="18.75" customHeight="1">
      <c r="A42" s="65" t="s">
        <v>168</v>
      </c>
      <c r="B42" s="48" t="s">
        <v>169</v>
      </c>
      <c r="C42" s="49" t="s">
        <v>139</v>
      </c>
      <c r="D42" s="50">
        <v>45981.0</v>
      </c>
      <c r="E42" s="50">
        <v>45982.0</v>
      </c>
      <c r="F42" s="49">
        <f t="shared" si="1"/>
        <v>2</v>
      </c>
      <c r="G42" s="50"/>
      <c r="H42" s="50"/>
      <c r="I42" s="49">
        <f t="shared" si="2"/>
        <v>1</v>
      </c>
      <c r="J42" s="49"/>
      <c r="K42" s="49" t="s">
        <v>54</v>
      </c>
      <c r="L42" s="68"/>
      <c r="M42" s="64"/>
      <c r="N42" s="64"/>
      <c r="O42" s="64"/>
      <c r="P42" s="64"/>
      <c r="Q42" s="64"/>
      <c r="R42" s="64"/>
      <c r="S42" s="64"/>
      <c r="T42" s="64"/>
      <c r="U42" s="64"/>
      <c r="V42" s="69"/>
      <c r="W42" s="69"/>
      <c r="X42" s="69"/>
      <c r="Y42" s="69"/>
      <c r="Z42" s="69"/>
      <c r="AA42" s="69"/>
      <c r="AB42" s="69"/>
      <c r="AC42" s="56" t="str">
        <f t="shared" si="12"/>
        <v/>
      </c>
      <c r="AD42" s="37"/>
      <c r="AE42" s="54" t="s">
        <v>170</v>
      </c>
      <c r="AF42" s="69"/>
      <c r="AG42" s="69"/>
      <c r="AH42" s="69"/>
      <c r="AI42" s="69"/>
      <c r="AJ42" s="69"/>
      <c r="AK42" s="69"/>
      <c r="AL42" s="69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ht="18.75" customHeight="1">
      <c r="A43" s="65" t="s">
        <v>171</v>
      </c>
      <c r="B43" s="48" t="s">
        <v>172</v>
      </c>
      <c r="C43" s="49" t="s">
        <v>149</v>
      </c>
      <c r="D43" s="50">
        <v>45983.0</v>
      </c>
      <c r="E43" s="50">
        <v>45985.0</v>
      </c>
      <c r="F43" s="49">
        <f t="shared" si="1"/>
        <v>3</v>
      </c>
      <c r="G43" s="50"/>
      <c r="H43" s="50"/>
      <c r="I43" s="49">
        <f t="shared" si="2"/>
        <v>1</v>
      </c>
      <c r="J43" s="49"/>
      <c r="K43" s="49" t="s">
        <v>54</v>
      </c>
      <c r="L43" s="68"/>
      <c r="M43" s="64"/>
      <c r="N43" s="64"/>
      <c r="O43" s="64"/>
      <c r="P43" s="64"/>
      <c r="Q43" s="64"/>
      <c r="R43" s="64"/>
      <c r="S43" s="64"/>
      <c r="T43" s="64"/>
      <c r="U43" s="64"/>
      <c r="V43" s="69"/>
      <c r="W43" s="69"/>
      <c r="X43" s="69"/>
      <c r="Y43" s="69"/>
      <c r="Z43" s="69"/>
      <c r="AA43" s="69"/>
      <c r="AB43" s="69"/>
      <c r="AC43" s="69"/>
      <c r="AD43" s="69"/>
      <c r="AE43" s="56" t="str">
        <f t="shared" ref="AE43:AE44" si="13">J43</f>
        <v/>
      </c>
      <c r="AF43" s="29"/>
      <c r="AG43" s="37"/>
      <c r="AH43" s="54" t="s">
        <v>173</v>
      </c>
      <c r="AI43" s="69"/>
      <c r="AJ43" s="69"/>
      <c r="AK43" s="69"/>
      <c r="AL43" s="69"/>
      <c r="AM43" s="70"/>
      <c r="AN43" s="70"/>
      <c r="AO43" s="70"/>
      <c r="AP43" s="70"/>
      <c r="AQ43" s="70"/>
      <c r="AR43" s="70"/>
      <c r="AS43" s="70"/>
      <c r="AT43" s="70"/>
      <c r="AU43" s="70"/>
      <c r="AV43" s="70"/>
    </row>
    <row r="44" ht="18.75" customHeight="1">
      <c r="A44" s="65" t="s">
        <v>174</v>
      </c>
      <c r="B44" s="48" t="s">
        <v>175</v>
      </c>
      <c r="C44" s="49" t="s">
        <v>149</v>
      </c>
      <c r="D44" s="50">
        <v>45983.0</v>
      </c>
      <c r="E44" s="50">
        <v>45985.0</v>
      </c>
      <c r="F44" s="49">
        <f t="shared" si="1"/>
        <v>3</v>
      </c>
      <c r="G44" s="50"/>
      <c r="H44" s="50"/>
      <c r="I44" s="49">
        <f t="shared" si="2"/>
        <v>1</v>
      </c>
      <c r="J44" s="49"/>
      <c r="K44" s="49" t="s">
        <v>54</v>
      </c>
      <c r="L44" s="68"/>
      <c r="M44" s="64"/>
      <c r="N44" s="64"/>
      <c r="O44" s="64"/>
      <c r="P44" s="64"/>
      <c r="Q44" s="64"/>
      <c r="R44" s="64"/>
      <c r="S44" s="64"/>
      <c r="T44" s="64"/>
      <c r="U44" s="64"/>
      <c r="V44" s="69"/>
      <c r="W44" s="69"/>
      <c r="X44" s="69"/>
      <c r="Y44" s="69"/>
      <c r="Z44" s="69"/>
      <c r="AA44" s="69"/>
      <c r="AB44" s="69"/>
      <c r="AC44" s="69"/>
      <c r="AD44" s="69"/>
      <c r="AE44" s="56" t="str">
        <f t="shared" si="13"/>
        <v/>
      </c>
      <c r="AF44" s="29"/>
      <c r="AG44" s="37"/>
      <c r="AH44" s="54" t="s">
        <v>176</v>
      </c>
      <c r="AI44" s="69"/>
      <c r="AJ44" s="69"/>
      <c r="AK44" s="69"/>
      <c r="AL44" s="69"/>
      <c r="AM44" s="70"/>
      <c r="AN44" s="70"/>
      <c r="AO44" s="70"/>
      <c r="AP44" s="70"/>
      <c r="AQ44" s="70"/>
      <c r="AR44" s="70"/>
      <c r="AS44" s="70"/>
      <c r="AT44" s="70"/>
      <c r="AU44" s="70"/>
      <c r="AV44" s="70"/>
    </row>
    <row r="45" ht="18.75" customHeight="1">
      <c r="A45" s="39">
        <v>4.0</v>
      </c>
      <c r="B45" s="40" t="s">
        <v>177</v>
      </c>
      <c r="C45" s="41"/>
      <c r="D45" s="42">
        <v>45978.0</v>
      </c>
      <c r="E45" s="42">
        <v>45987.0</v>
      </c>
      <c r="F45" s="41">
        <f t="shared" si="1"/>
        <v>10</v>
      </c>
      <c r="G45" s="42"/>
      <c r="H45" s="42"/>
      <c r="I45" s="41">
        <f t="shared" si="2"/>
        <v>1</v>
      </c>
      <c r="J45" s="41">
        <f>sum(J46:J50)/COUNT(F46:F50)</f>
        <v>0</v>
      </c>
      <c r="K45" s="41" t="s">
        <v>54</v>
      </c>
      <c r="L45" s="59"/>
      <c r="M45" s="54"/>
      <c r="N45" s="54"/>
      <c r="O45" s="54"/>
      <c r="P45" s="54"/>
      <c r="Q45" s="54"/>
      <c r="R45" s="54"/>
      <c r="S45" s="54"/>
      <c r="T45" s="54"/>
      <c r="U45" s="54"/>
      <c r="V45" s="44"/>
      <c r="W45" s="44"/>
      <c r="X45" s="44"/>
      <c r="Y45" s="44"/>
      <c r="Z45" s="43">
        <f t="shared" ref="Z45:Z46" si="14">J45</f>
        <v>0</v>
      </c>
      <c r="AA45" s="29"/>
      <c r="AB45" s="29"/>
      <c r="AC45" s="29"/>
      <c r="AD45" s="29"/>
      <c r="AE45" s="29"/>
      <c r="AF45" s="29"/>
      <c r="AG45" s="29"/>
      <c r="AH45" s="29"/>
      <c r="AI45" s="37"/>
      <c r="AJ45" s="44" t="s">
        <v>178</v>
      </c>
      <c r="AK45" s="45"/>
      <c r="AL45" s="44"/>
      <c r="AM45" s="70"/>
      <c r="AN45" s="70"/>
      <c r="AO45" s="70"/>
      <c r="AP45" s="70"/>
      <c r="AQ45" s="70"/>
      <c r="AR45" s="70"/>
      <c r="AS45" s="70"/>
      <c r="AT45" s="70"/>
      <c r="AU45" s="70"/>
      <c r="AV45" s="70"/>
    </row>
    <row r="46" ht="18.75" customHeight="1">
      <c r="A46" s="65">
        <v>4.1</v>
      </c>
      <c r="B46" s="48" t="s">
        <v>179</v>
      </c>
      <c r="C46" s="49" t="s">
        <v>64</v>
      </c>
      <c r="D46" s="50">
        <v>45978.0</v>
      </c>
      <c r="E46" s="50">
        <v>45983.0</v>
      </c>
      <c r="F46" s="49">
        <f t="shared" si="1"/>
        <v>6</v>
      </c>
      <c r="G46" s="50"/>
      <c r="H46" s="50"/>
      <c r="I46" s="49">
        <f t="shared" si="2"/>
        <v>1</v>
      </c>
      <c r="J46" s="49"/>
      <c r="K46" s="49" t="s">
        <v>54</v>
      </c>
      <c r="L46" s="68"/>
      <c r="M46" s="64"/>
      <c r="N46" s="64"/>
      <c r="O46" s="64"/>
      <c r="P46" s="64"/>
      <c r="Q46" s="64"/>
      <c r="R46" s="64"/>
      <c r="S46" s="64"/>
      <c r="T46" s="64"/>
      <c r="U46" s="64"/>
      <c r="V46" s="69"/>
      <c r="W46" s="69"/>
      <c r="X46" s="69"/>
      <c r="Y46" s="69"/>
      <c r="Z46" s="56" t="str">
        <f t="shared" si="14"/>
        <v/>
      </c>
      <c r="AA46" s="29"/>
      <c r="AB46" s="29"/>
      <c r="AC46" s="29"/>
      <c r="AD46" s="29"/>
      <c r="AE46" s="37"/>
      <c r="AF46" s="54" t="s">
        <v>180</v>
      </c>
      <c r="AG46" s="69"/>
      <c r="AH46" s="69"/>
      <c r="AI46" s="69"/>
      <c r="AJ46" s="69"/>
      <c r="AK46" s="69"/>
      <c r="AL46" s="69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ht="18.75" customHeight="1">
      <c r="A47" s="65">
        <v>4.2</v>
      </c>
      <c r="B47" s="48" t="s">
        <v>181</v>
      </c>
      <c r="C47" s="49" t="s">
        <v>64</v>
      </c>
      <c r="D47" s="50">
        <v>45984.0</v>
      </c>
      <c r="E47" s="50">
        <v>45985.0</v>
      </c>
      <c r="F47" s="49">
        <f t="shared" si="1"/>
        <v>2</v>
      </c>
      <c r="G47" s="50"/>
      <c r="H47" s="50"/>
      <c r="I47" s="49">
        <f t="shared" si="2"/>
        <v>1</v>
      </c>
      <c r="J47" s="49"/>
      <c r="K47" s="49" t="s">
        <v>54</v>
      </c>
      <c r="L47" s="68"/>
      <c r="M47" s="64"/>
      <c r="N47" s="64"/>
      <c r="O47" s="64"/>
      <c r="P47" s="64"/>
      <c r="Q47" s="64"/>
      <c r="R47" s="64"/>
      <c r="S47" s="64"/>
      <c r="T47" s="64"/>
      <c r="U47" s="64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56" t="str">
        <f>J47</f>
        <v/>
      </c>
      <c r="AG47" s="37"/>
      <c r="AH47" s="54" t="s">
        <v>182</v>
      </c>
      <c r="AI47" s="69"/>
      <c r="AJ47" s="69"/>
      <c r="AK47" s="69"/>
      <c r="AL47" s="69"/>
      <c r="AM47" s="70"/>
      <c r="AN47" s="70"/>
      <c r="AO47" s="70"/>
      <c r="AP47" s="70"/>
      <c r="AQ47" s="70"/>
      <c r="AR47" s="70"/>
      <c r="AS47" s="70"/>
      <c r="AT47" s="70"/>
      <c r="AU47" s="70"/>
      <c r="AV47" s="70"/>
    </row>
    <row r="48" ht="18.75" customHeight="1">
      <c r="A48" s="65">
        <v>4.3</v>
      </c>
      <c r="B48" s="48" t="s">
        <v>183</v>
      </c>
      <c r="C48" s="49" t="s">
        <v>64</v>
      </c>
      <c r="D48" s="50">
        <v>45982.0</v>
      </c>
      <c r="E48" s="50">
        <v>45985.0</v>
      </c>
      <c r="F48" s="49">
        <f t="shared" si="1"/>
        <v>4</v>
      </c>
      <c r="G48" s="50"/>
      <c r="H48" s="50"/>
      <c r="I48" s="49">
        <f t="shared" si="2"/>
        <v>1</v>
      </c>
      <c r="J48" s="49"/>
      <c r="K48" s="49" t="s">
        <v>54</v>
      </c>
      <c r="L48" s="68"/>
      <c r="M48" s="64"/>
      <c r="N48" s="64"/>
      <c r="O48" s="64"/>
      <c r="P48" s="64"/>
      <c r="Q48" s="64"/>
      <c r="R48" s="64"/>
      <c r="S48" s="64"/>
      <c r="T48" s="64"/>
      <c r="U48" s="64"/>
      <c r="V48" s="69"/>
      <c r="W48" s="69"/>
      <c r="X48" s="69"/>
      <c r="Y48" s="69"/>
      <c r="Z48" s="69"/>
      <c r="AA48" s="69"/>
      <c r="AB48" s="69"/>
      <c r="AC48" s="69"/>
      <c r="AD48" s="56" t="str">
        <f>J48</f>
        <v/>
      </c>
      <c r="AE48" s="29"/>
      <c r="AF48" s="29"/>
      <c r="AG48" s="37"/>
      <c r="AH48" s="54" t="s">
        <v>184</v>
      </c>
      <c r="AI48" s="69"/>
      <c r="AJ48" s="69"/>
      <c r="AK48" s="69"/>
      <c r="AL48" s="69"/>
      <c r="AM48" s="70"/>
      <c r="AN48" s="70"/>
      <c r="AO48" s="70"/>
      <c r="AP48" s="70"/>
      <c r="AQ48" s="70"/>
      <c r="AR48" s="70"/>
      <c r="AS48" s="70"/>
      <c r="AT48" s="70"/>
      <c r="AU48" s="70"/>
      <c r="AV48" s="70"/>
    </row>
    <row r="49" ht="18.75" customHeight="1">
      <c r="A49" s="65">
        <v>4.4</v>
      </c>
      <c r="B49" s="48" t="s">
        <v>185</v>
      </c>
      <c r="C49" s="49"/>
      <c r="D49" s="50">
        <v>45986.0</v>
      </c>
      <c r="E49" s="50">
        <v>45986.0</v>
      </c>
      <c r="F49" s="49">
        <f t="shared" si="1"/>
        <v>1</v>
      </c>
      <c r="G49" s="50"/>
      <c r="H49" s="50"/>
      <c r="I49" s="49">
        <f t="shared" si="2"/>
        <v>1</v>
      </c>
      <c r="J49" s="49"/>
      <c r="K49" s="49" t="s">
        <v>54</v>
      </c>
      <c r="L49" s="68"/>
      <c r="M49" s="64"/>
      <c r="N49" s="64"/>
      <c r="O49" s="64"/>
      <c r="P49" s="64"/>
      <c r="Q49" s="64"/>
      <c r="R49" s="64"/>
      <c r="S49" s="64"/>
      <c r="T49" s="64"/>
      <c r="U49" s="64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3" t="str">
        <f t="shared" ref="AH49:AH50" si="15">J49</f>
        <v/>
      </c>
      <c r="AI49" s="54" t="s">
        <v>186</v>
      </c>
      <c r="AJ49" s="69"/>
      <c r="AK49" s="69"/>
      <c r="AL49" s="69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ht="18.75" customHeight="1">
      <c r="A50" s="65">
        <v>4.5</v>
      </c>
      <c r="B50" s="48" t="s">
        <v>187</v>
      </c>
      <c r="C50" s="49"/>
      <c r="D50" s="50">
        <v>45986.0</v>
      </c>
      <c r="E50" s="50">
        <v>45987.0</v>
      </c>
      <c r="F50" s="49">
        <f t="shared" si="1"/>
        <v>2</v>
      </c>
      <c r="G50" s="50"/>
      <c r="H50" s="50"/>
      <c r="I50" s="49">
        <f t="shared" si="2"/>
        <v>1</v>
      </c>
      <c r="J50" s="49"/>
      <c r="K50" s="49" t="s">
        <v>54</v>
      </c>
      <c r="L50" s="68"/>
      <c r="M50" s="64"/>
      <c r="N50" s="64"/>
      <c r="O50" s="64"/>
      <c r="P50" s="64"/>
      <c r="Q50" s="64"/>
      <c r="R50" s="64"/>
      <c r="S50" s="64"/>
      <c r="T50" s="64"/>
      <c r="U50" s="64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56" t="str">
        <f t="shared" si="15"/>
        <v/>
      </c>
      <c r="AI50" s="37"/>
      <c r="AJ50" s="54" t="s">
        <v>188</v>
      </c>
      <c r="AK50" s="69"/>
      <c r="AL50" s="69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ht="18.75" customHeight="1">
      <c r="A51" s="39">
        <v>5.0</v>
      </c>
      <c r="B51" s="40" t="s">
        <v>20</v>
      </c>
      <c r="C51" s="41"/>
      <c r="D51" s="42">
        <v>45988.0</v>
      </c>
      <c r="E51" s="42">
        <v>45988.0</v>
      </c>
      <c r="F51" s="41">
        <f t="shared" si="1"/>
        <v>1</v>
      </c>
      <c r="G51" s="42"/>
      <c r="H51" s="42"/>
      <c r="I51" s="41">
        <f t="shared" si="2"/>
        <v>1</v>
      </c>
      <c r="J51" s="41"/>
      <c r="K51" s="41" t="s">
        <v>54</v>
      </c>
      <c r="L51" s="59"/>
      <c r="M51" s="54"/>
      <c r="N51" s="54"/>
      <c r="O51" s="54"/>
      <c r="P51" s="54"/>
      <c r="Q51" s="54"/>
      <c r="R51" s="54"/>
      <c r="S51" s="54"/>
      <c r="T51" s="54"/>
      <c r="U51" s="5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71" t="str">
        <f>J51</f>
        <v/>
      </c>
      <c r="AK51" s="44" t="s">
        <v>189</v>
      </c>
      <c r="AL51" s="44"/>
      <c r="AM51" s="70"/>
      <c r="AN51" s="70"/>
      <c r="AO51" s="70"/>
      <c r="AP51" s="70"/>
      <c r="AQ51" s="70"/>
      <c r="AR51" s="70"/>
      <c r="AS51" s="70"/>
      <c r="AT51" s="70"/>
      <c r="AU51" s="70"/>
      <c r="AV51" s="70"/>
    </row>
    <row r="52" ht="18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</row>
    <row r="53" ht="18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</row>
    <row r="54" ht="18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</row>
    <row r="55" ht="18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</row>
    <row r="56" ht="18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</row>
    <row r="57" ht="18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</row>
    <row r="58" ht="18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</row>
    <row r="59" ht="18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</row>
    <row r="60" ht="18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</row>
    <row r="61" ht="18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</row>
    <row r="62" ht="18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</row>
    <row r="63" ht="18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</row>
    <row r="64" ht="18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</row>
    <row r="65" ht="18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</row>
    <row r="66" ht="18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</row>
    <row r="67" ht="18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</row>
    <row r="68" ht="18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</row>
    <row r="69" ht="18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</row>
    <row r="70" ht="18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</row>
    <row r="71" ht="18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</row>
    <row r="72" ht="18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</row>
    <row r="73" ht="18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</row>
    <row r="74" ht="18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</row>
    <row r="75" ht="18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</row>
    <row r="76" ht="18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</row>
    <row r="77" ht="18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</row>
    <row r="78" ht="18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</row>
    <row r="79" ht="18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</row>
    <row r="80" ht="18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</row>
    <row r="81" ht="18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</row>
    <row r="82" ht="18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</row>
    <row r="83" ht="18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</row>
    <row r="84" ht="18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</row>
    <row r="85" ht="18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</row>
    <row r="86" ht="18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</row>
    <row r="87" ht="18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</row>
    <row r="88" ht="18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</row>
    <row r="89" ht="18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</row>
    <row r="90" ht="18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</row>
    <row r="91" ht="18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</row>
    <row r="92" ht="18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</row>
    <row r="93" ht="18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</row>
    <row r="94" ht="18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</row>
    <row r="95" ht="18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</row>
    <row r="96" ht="18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</row>
    <row r="97" ht="18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</row>
    <row r="98" ht="18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</row>
    <row r="99" ht="18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</row>
    <row r="100" ht="18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</row>
    <row r="101" ht="18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</row>
    <row r="102" ht="18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</row>
    <row r="103" ht="18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</row>
    <row r="104" ht="18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</row>
    <row r="105" ht="18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</row>
    <row r="106" ht="18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</row>
    <row r="107" ht="18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</row>
    <row r="108" ht="18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</row>
    <row r="109" ht="18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</row>
    <row r="110" ht="18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</row>
    <row r="111" ht="18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</row>
    <row r="112" ht="18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</row>
    <row r="113" ht="18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</row>
    <row r="114" ht="18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</row>
    <row r="115" ht="18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</row>
    <row r="116" ht="18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</row>
    <row r="117" ht="18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</row>
    <row r="118" ht="18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</row>
    <row r="119" ht="18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</row>
    <row r="120" ht="18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</row>
    <row r="121" ht="18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</row>
    <row r="122" ht="18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</row>
    <row r="123" ht="18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</row>
    <row r="124" ht="18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</row>
    <row r="125" ht="18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</row>
    <row r="126" ht="18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</row>
    <row r="127" ht="18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</row>
    <row r="128" ht="18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</row>
    <row r="129" ht="18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</row>
    <row r="130" ht="18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</row>
    <row r="131" ht="18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</row>
    <row r="132" ht="18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</row>
    <row r="133" ht="18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</row>
    <row r="134" ht="18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</row>
    <row r="135" ht="18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</row>
    <row r="136" ht="18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</row>
    <row r="137" ht="18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</row>
    <row r="138" ht="18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</row>
    <row r="139" ht="18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</row>
    <row r="140" ht="18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</row>
    <row r="141" ht="18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</row>
    <row r="142" ht="18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</row>
    <row r="143" ht="18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</row>
    <row r="144" ht="18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</row>
    <row r="145" ht="18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</row>
    <row r="146" ht="18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</row>
    <row r="147" ht="18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</row>
    <row r="148" ht="18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</row>
    <row r="149" ht="18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</row>
    <row r="150" ht="18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</row>
    <row r="151" ht="18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</row>
    <row r="152" ht="18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</row>
    <row r="153" ht="18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</row>
    <row r="154" ht="18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</row>
    <row r="155" ht="18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</row>
    <row r="156" ht="18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</row>
    <row r="157" ht="18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</row>
    <row r="158" ht="18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</row>
    <row r="159" ht="18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</row>
    <row r="160" ht="18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</row>
    <row r="161" ht="18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</row>
    <row r="162" ht="18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</row>
    <row r="163" ht="18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</row>
    <row r="164" ht="18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</row>
    <row r="165" ht="18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</row>
    <row r="166" ht="18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</row>
    <row r="167" ht="18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</row>
    <row r="168" ht="18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</row>
    <row r="169" ht="18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</row>
    <row r="170" ht="18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</row>
    <row r="171" ht="18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</row>
    <row r="172" ht="18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</row>
    <row r="173" ht="18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</row>
    <row r="174" ht="18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</row>
    <row r="175" ht="18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</row>
    <row r="176" ht="18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</row>
    <row r="177" ht="18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</row>
    <row r="178" ht="18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</row>
    <row r="179" ht="18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</row>
    <row r="180" ht="18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</row>
    <row r="181" ht="18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</row>
    <row r="182" ht="18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</row>
    <row r="183" ht="18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</row>
    <row r="184" ht="18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</row>
    <row r="185" ht="18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</row>
    <row r="186" ht="18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</row>
    <row r="187" ht="18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</row>
    <row r="188" ht="18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</row>
    <row r="189" ht="18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</row>
    <row r="190" ht="18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</row>
    <row r="191" ht="18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</row>
    <row r="192" ht="18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</row>
    <row r="193" ht="18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</row>
    <row r="194" ht="18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</row>
    <row r="195" ht="18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</row>
    <row r="196" ht="18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</row>
    <row r="197" ht="18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</row>
    <row r="198" ht="18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</row>
    <row r="199" ht="18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</row>
    <row r="200" ht="18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</row>
    <row r="201" ht="18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</row>
    <row r="202" ht="18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</row>
    <row r="203" ht="18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</row>
    <row r="204" ht="18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</row>
    <row r="205" ht="18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</row>
    <row r="206" ht="18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</row>
    <row r="207" ht="18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</row>
    <row r="208" ht="18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</row>
    <row r="209" ht="18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</row>
    <row r="210" ht="18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</row>
    <row r="211" ht="18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</row>
    <row r="212" ht="18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</row>
    <row r="213" ht="18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</row>
    <row r="214" ht="18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</row>
    <row r="215" ht="18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</row>
    <row r="216" ht="18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</row>
    <row r="217" ht="18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</row>
    <row r="218" ht="18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</row>
    <row r="219" ht="18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</row>
    <row r="220" ht="18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</row>
    <row r="221" ht="18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</row>
    <row r="222" ht="18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</row>
    <row r="223" ht="18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</row>
    <row r="224" ht="18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</row>
    <row r="225" ht="18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</row>
    <row r="226" ht="18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</row>
    <row r="227" ht="18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</row>
    <row r="228" ht="18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</row>
    <row r="229" ht="18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</row>
    <row r="230" ht="18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</row>
    <row r="231" ht="18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</row>
    <row r="232" ht="18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</row>
    <row r="233" ht="18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</row>
    <row r="234" ht="18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</row>
    <row r="235" ht="18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</row>
    <row r="236" ht="18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</row>
    <row r="237" ht="18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</row>
    <row r="238" ht="18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</row>
    <row r="239" ht="18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</row>
    <row r="240" ht="18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</row>
    <row r="241" ht="18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</row>
    <row r="242" ht="18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</row>
    <row r="243" ht="18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</row>
    <row r="244" ht="18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</row>
    <row r="245" ht="18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</row>
    <row r="246" ht="18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</row>
    <row r="247" ht="18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</row>
    <row r="248" ht="18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</row>
    <row r="249" ht="18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</row>
    <row r="250" ht="18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</row>
    <row r="251" ht="18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</row>
    <row r="252" ht="18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</row>
    <row r="253" ht="18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</row>
    <row r="254" ht="18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</row>
    <row r="255" ht="18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</row>
    <row r="256" ht="18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</row>
    <row r="257" ht="18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</row>
    <row r="258" ht="18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</row>
    <row r="259" ht="18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</row>
    <row r="260" ht="18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</row>
    <row r="261" ht="18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</row>
    <row r="262" ht="18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</row>
    <row r="263" ht="18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</row>
    <row r="264" ht="18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</row>
    <row r="265" ht="18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</row>
    <row r="266" ht="18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</row>
    <row r="267" ht="18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</row>
    <row r="268" ht="18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</row>
    <row r="269" ht="18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</row>
    <row r="270" ht="18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</row>
    <row r="271" ht="18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</row>
    <row r="272" ht="18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</row>
    <row r="273" ht="18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</row>
    <row r="274" ht="18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</row>
    <row r="275" ht="18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</row>
    <row r="276" ht="18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</row>
    <row r="277" ht="18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</row>
    <row r="278" ht="18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</row>
    <row r="279" ht="18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</row>
    <row r="280" ht="18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</row>
    <row r="281" ht="18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</row>
    <row r="282" ht="18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</row>
    <row r="283" ht="18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</row>
    <row r="284" ht="18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</row>
    <row r="285" ht="18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</row>
    <row r="286" ht="18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</row>
    <row r="287" ht="18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</row>
    <row r="288" ht="18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</row>
    <row r="289" ht="18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</row>
    <row r="290" ht="18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</row>
    <row r="291" ht="18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</row>
    <row r="292" ht="18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</row>
    <row r="293" ht="18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</row>
    <row r="294" ht="18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</row>
    <row r="295" ht="18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</row>
    <row r="296" ht="18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</row>
    <row r="297" ht="18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</row>
    <row r="298" ht="18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</row>
    <row r="299" ht="18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</row>
    <row r="300" ht="18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</row>
    <row r="301" ht="18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</row>
    <row r="302" ht="18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</row>
    <row r="303" ht="18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</row>
    <row r="304" ht="18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</row>
    <row r="305" ht="18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</row>
    <row r="306" ht="18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</row>
    <row r="307" ht="18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</row>
    <row r="308" ht="18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</row>
    <row r="309" ht="18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</row>
    <row r="310" ht="18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</row>
    <row r="311" ht="18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</row>
    <row r="312" ht="18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</row>
    <row r="313" ht="18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</row>
    <row r="314" ht="18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</row>
    <row r="315" ht="18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</row>
    <row r="316" ht="18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</row>
    <row r="317" ht="18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</row>
    <row r="318" ht="18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</row>
    <row r="319" ht="18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</row>
    <row r="320" ht="18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</row>
    <row r="321" ht="18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</row>
    <row r="322" ht="18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</row>
    <row r="323" ht="18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</row>
    <row r="324" ht="18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</row>
    <row r="325" ht="18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</row>
    <row r="326" ht="18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</row>
    <row r="327" ht="18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</row>
    <row r="328" ht="18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</row>
    <row r="329" ht="18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</row>
    <row r="330" ht="18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</row>
    <row r="331" ht="18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</row>
    <row r="332" ht="18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</row>
    <row r="333" ht="18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</row>
    <row r="334" ht="18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</row>
    <row r="335" ht="18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</row>
    <row r="336" ht="18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</row>
    <row r="337" ht="18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</row>
    <row r="338" ht="18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</row>
    <row r="339" ht="18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</row>
    <row r="340" ht="18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</row>
    <row r="341" ht="18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</row>
    <row r="342" ht="18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</row>
    <row r="343" ht="18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</row>
    <row r="344" ht="18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</row>
    <row r="345" ht="18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</row>
    <row r="346" ht="18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</row>
    <row r="347" ht="18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</row>
    <row r="348" ht="18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</row>
    <row r="349" ht="18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</row>
    <row r="350" ht="18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</row>
    <row r="351" ht="18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</row>
    <row r="352" ht="18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</row>
    <row r="353" ht="18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</row>
    <row r="354" ht="18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</row>
    <row r="355" ht="18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</row>
    <row r="356" ht="18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</row>
    <row r="357" ht="18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</row>
    <row r="358" ht="18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</row>
    <row r="359" ht="18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</row>
    <row r="360" ht="18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</row>
    <row r="361" ht="18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</row>
    <row r="362" ht="18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</row>
    <row r="363" ht="18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</row>
    <row r="364" ht="18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</row>
    <row r="365" ht="18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</row>
    <row r="366" ht="18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</row>
    <row r="367" ht="18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</row>
    <row r="368" ht="18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</row>
    <row r="369" ht="18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</row>
    <row r="370" ht="18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</row>
    <row r="371" ht="18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</row>
    <row r="372" ht="18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</row>
    <row r="373" ht="18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</row>
    <row r="374" ht="18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</row>
    <row r="375" ht="18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</row>
    <row r="376" ht="18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</row>
    <row r="377" ht="18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</row>
    <row r="378" ht="18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</row>
    <row r="379" ht="18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</row>
    <row r="380" ht="18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</row>
    <row r="381" ht="18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</row>
    <row r="382" ht="18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</row>
    <row r="383" ht="18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</row>
    <row r="384" ht="18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</row>
    <row r="385" ht="18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</row>
    <row r="386" ht="18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</row>
    <row r="387" ht="18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</row>
    <row r="388" ht="18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</row>
    <row r="389" ht="18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</row>
    <row r="390" ht="18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</row>
    <row r="391" ht="18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</row>
    <row r="392" ht="18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</row>
    <row r="393" ht="18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</row>
    <row r="394" ht="18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</row>
    <row r="395" ht="18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</row>
    <row r="396" ht="18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</row>
    <row r="397" ht="18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</row>
    <row r="398" ht="18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</row>
    <row r="399" ht="18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</row>
    <row r="400" ht="18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</row>
    <row r="401" ht="18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</row>
    <row r="402" ht="18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</row>
    <row r="403" ht="18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</row>
    <row r="404" ht="18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</row>
    <row r="405" ht="18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</row>
    <row r="406" ht="18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</row>
    <row r="407" ht="18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</row>
    <row r="408" ht="18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</row>
    <row r="409" ht="18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</row>
    <row r="410" ht="18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</row>
    <row r="411" ht="18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</row>
    <row r="412" ht="18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</row>
    <row r="413" ht="18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</row>
    <row r="414" ht="18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</row>
    <row r="415" ht="18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</row>
    <row r="416" ht="18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</row>
    <row r="417" ht="18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</row>
    <row r="418" ht="18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</row>
    <row r="419" ht="18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</row>
    <row r="420" ht="18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</row>
    <row r="421" ht="18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</row>
    <row r="422" ht="18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</row>
    <row r="423" ht="18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</row>
    <row r="424" ht="18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</row>
    <row r="425" ht="18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</row>
    <row r="426" ht="18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</row>
    <row r="427" ht="18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</row>
    <row r="428" ht="18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</row>
    <row r="429" ht="18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</row>
    <row r="430" ht="18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</row>
    <row r="431" ht="18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</row>
    <row r="432" ht="18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</row>
    <row r="433" ht="18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</row>
    <row r="434" ht="18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</row>
    <row r="435" ht="18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</row>
    <row r="436" ht="18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</row>
    <row r="437" ht="18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</row>
    <row r="438" ht="18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</row>
    <row r="439" ht="18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</row>
    <row r="440" ht="18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</row>
    <row r="441" ht="18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</row>
    <row r="442" ht="18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</row>
    <row r="443" ht="18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</row>
    <row r="444" ht="18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</row>
    <row r="445" ht="18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</row>
    <row r="446" ht="18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</row>
    <row r="447" ht="18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</row>
    <row r="448" ht="18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</row>
    <row r="449" ht="18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</row>
    <row r="450" ht="18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</row>
    <row r="451" ht="18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</row>
    <row r="452" ht="18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</row>
    <row r="453" ht="18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</row>
    <row r="454" ht="18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</row>
    <row r="455" ht="18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</row>
    <row r="456" ht="18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</row>
    <row r="457" ht="18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</row>
    <row r="458" ht="18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</row>
    <row r="459" ht="18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</row>
    <row r="460" ht="18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</row>
    <row r="461" ht="18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</row>
    <row r="462" ht="18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</row>
    <row r="463" ht="18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</row>
    <row r="464" ht="18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</row>
    <row r="465" ht="18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</row>
    <row r="466" ht="18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</row>
    <row r="467" ht="18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</row>
    <row r="468" ht="18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</row>
    <row r="469" ht="18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</row>
    <row r="470" ht="18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</row>
    <row r="471" ht="18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</row>
    <row r="472" ht="18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</row>
    <row r="473" ht="18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</row>
    <row r="474" ht="18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</row>
    <row r="475" ht="18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</row>
    <row r="476" ht="18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</row>
    <row r="477" ht="18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</row>
    <row r="478" ht="18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</row>
    <row r="479" ht="18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</row>
    <row r="480" ht="18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</row>
    <row r="481" ht="18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</row>
    <row r="482" ht="18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</row>
    <row r="483" ht="18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</row>
    <row r="484" ht="18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</row>
    <row r="485" ht="18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</row>
    <row r="486" ht="18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</row>
    <row r="487" ht="18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</row>
    <row r="488" ht="18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</row>
    <row r="489" ht="18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</row>
    <row r="490" ht="18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</row>
    <row r="491" ht="18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</row>
    <row r="492" ht="18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</row>
    <row r="493" ht="18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</row>
    <row r="494" ht="18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</row>
    <row r="495" ht="18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</row>
    <row r="496" ht="18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</row>
    <row r="497" ht="18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</row>
    <row r="498" ht="18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</row>
    <row r="499" ht="18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</row>
    <row r="500" ht="18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</row>
    <row r="501" ht="18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</row>
    <row r="502" ht="18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</row>
    <row r="503" ht="18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</row>
    <row r="504" ht="18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</row>
    <row r="505" ht="18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</row>
    <row r="506" ht="18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</row>
    <row r="507" ht="18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</row>
    <row r="508" ht="18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</row>
    <row r="509" ht="18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</row>
    <row r="510" ht="18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</row>
    <row r="511" ht="18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</row>
    <row r="512" ht="18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</row>
    <row r="513" ht="18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</row>
    <row r="514" ht="18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</row>
    <row r="515" ht="18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</row>
    <row r="516" ht="18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</row>
    <row r="517" ht="18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</row>
    <row r="518" ht="18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</row>
    <row r="519" ht="18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</row>
    <row r="520" ht="18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</row>
    <row r="521" ht="18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</row>
    <row r="522" ht="18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</row>
    <row r="523" ht="18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</row>
    <row r="524" ht="18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</row>
    <row r="525" ht="18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</row>
    <row r="526" ht="18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</row>
    <row r="527" ht="18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</row>
    <row r="528" ht="18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</row>
    <row r="529" ht="18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</row>
    <row r="530" ht="18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</row>
    <row r="531" ht="18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</row>
    <row r="532" ht="18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</row>
    <row r="533" ht="18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</row>
    <row r="534" ht="18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</row>
    <row r="535" ht="18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</row>
    <row r="536" ht="18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</row>
    <row r="537" ht="18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</row>
    <row r="538" ht="18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</row>
    <row r="539" ht="18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</row>
    <row r="540" ht="18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</row>
    <row r="541" ht="18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</row>
    <row r="542" ht="18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</row>
    <row r="543" ht="18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</row>
    <row r="544" ht="18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</row>
    <row r="545" ht="18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</row>
    <row r="546" ht="18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</row>
    <row r="547" ht="18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</row>
    <row r="548" ht="18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</row>
    <row r="549" ht="18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</row>
    <row r="550" ht="18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</row>
    <row r="551" ht="18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</row>
    <row r="552" ht="18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</row>
    <row r="553" ht="18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</row>
    <row r="554" ht="18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</row>
    <row r="555" ht="18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</row>
    <row r="556" ht="18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</row>
    <row r="557" ht="18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</row>
    <row r="558" ht="18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</row>
    <row r="559" ht="18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</row>
    <row r="560" ht="18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</row>
    <row r="561" ht="18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</row>
    <row r="562" ht="18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</row>
    <row r="563" ht="18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</row>
    <row r="564" ht="18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</row>
    <row r="565" ht="18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</row>
    <row r="566" ht="18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</row>
    <row r="567" ht="18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</row>
    <row r="568" ht="18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</row>
    <row r="569" ht="18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</row>
    <row r="570" ht="18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</row>
    <row r="571" ht="18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</row>
    <row r="572" ht="18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</row>
    <row r="573" ht="18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</row>
    <row r="574" ht="18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</row>
    <row r="575" ht="18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</row>
    <row r="576" ht="18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</row>
    <row r="577" ht="18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</row>
    <row r="578" ht="18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</row>
    <row r="579" ht="18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</row>
    <row r="580" ht="18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</row>
    <row r="581" ht="18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</row>
    <row r="582" ht="18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</row>
    <row r="583" ht="18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</row>
    <row r="584" ht="18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</row>
    <row r="585" ht="18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</row>
    <row r="586" ht="18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</row>
    <row r="587" ht="18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</row>
    <row r="588" ht="18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</row>
    <row r="589" ht="18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</row>
    <row r="590" ht="18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</row>
    <row r="591" ht="18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</row>
    <row r="592" ht="18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</row>
    <row r="593" ht="18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</row>
    <row r="594" ht="18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</row>
    <row r="595" ht="18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</row>
    <row r="596" ht="18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</row>
    <row r="597" ht="18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</row>
    <row r="598" ht="18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</row>
    <row r="599" ht="18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</row>
    <row r="600" ht="18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</row>
    <row r="601" ht="18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</row>
    <row r="602" ht="18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</row>
    <row r="603" ht="18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</row>
    <row r="604" ht="18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</row>
    <row r="605" ht="18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</row>
    <row r="606" ht="18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</row>
    <row r="607" ht="18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</row>
    <row r="608" ht="18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</row>
    <row r="609" ht="18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</row>
    <row r="610" ht="18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</row>
    <row r="611" ht="18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</row>
    <row r="612" ht="18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</row>
    <row r="613" ht="18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</row>
    <row r="614" ht="18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</row>
    <row r="615" ht="18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</row>
    <row r="616" ht="18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</row>
    <row r="617" ht="18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</row>
    <row r="618" ht="18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</row>
    <row r="619" ht="18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</row>
    <row r="620" ht="18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</row>
    <row r="621" ht="18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</row>
    <row r="622" ht="18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</row>
    <row r="623" ht="18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</row>
    <row r="624" ht="18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</row>
    <row r="625" ht="18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</row>
    <row r="626" ht="18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</row>
    <row r="627" ht="18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</row>
    <row r="628" ht="18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</row>
    <row r="629" ht="18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</row>
    <row r="630" ht="18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</row>
    <row r="631" ht="18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</row>
    <row r="632" ht="18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</row>
    <row r="633" ht="18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</row>
    <row r="634" ht="18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</row>
    <row r="635" ht="18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</row>
    <row r="636" ht="18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</row>
    <row r="637" ht="18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</row>
    <row r="638" ht="18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</row>
    <row r="639" ht="18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</row>
    <row r="640" ht="18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</row>
    <row r="641" ht="18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</row>
    <row r="642" ht="18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</row>
    <row r="643" ht="18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</row>
    <row r="644" ht="18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</row>
    <row r="645" ht="18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</row>
    <row r="646" ht="18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</row>
    <row r="647" ht="18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</row>
    <row r="648" ht="18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</row>
    <row r="649" ht="18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</row>
    <row r="650" ht="18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</row>
    <row r="651" ht="18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</row>
    <row r="652" ht="18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</row>
    <row r="653" ht="18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</row>
    <row r="654" ht="18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</row>
    <row r="655" ht="18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</row>
    <row r="656" ht="18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</row>
    <row r="657" ht="18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</row>
    <row r="658" ht="18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</row>
    <row r="659" ht="18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</row>
    <row r="660" ht="18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</row>
    <row r="661" ht="18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</row>
    <row r="662" ht="18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</row>
    <row r="663" ht="18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</row>
    <row r="664" ht="18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</row>
    <row r="665" ht="18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</row>
    <row r="666" ht="18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</row>
    <row r="667" ht="18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</row>
    <row r="668" ht="18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</row>
    <row r="669" ht="18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</row>
    <row r="670" ht="18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</row>
    <row r="671" ht="18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</row>
    <row r="672" ht="18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</row>
    <row r="673" ht="18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</row>
    <row r="674" ht="18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</row>
    <row r="675" ht="18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</row>
    <row r="676" ht="18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</row>
    <row r="677" ht="18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</row>
    <row r="678" ht="18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</row>
    <row r="679" ht="18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ht="18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ht="18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ht="18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ht="18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ht="18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ht="18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ht="18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ht="18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ht="18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ht="18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ht="18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ht="18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ht="18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ht="18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ht="18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ht="18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ht="18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ht="18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ht="18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ht="18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ht="18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ht="18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ht="18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ht="18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ht="18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ht="18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ht="18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ht="18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ht="18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ht="18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ht="18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ht="18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ht="18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ht="18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ht="18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ht="18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ht="18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ht="18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ht="18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ht="18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ht="18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ht="18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ht="18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ht="18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ht="18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ht="18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ht="18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ht="18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ht="18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ht="18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ht="18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ht="18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ht="18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ht="18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ht="18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ht="18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ht="18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ht="18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ht="18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ht="18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ht="18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ht="18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ht="18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ht="18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ht="18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ht="18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ht="18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ht="18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ht="18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ht="18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ht="18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ht="18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ht="18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ht="18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ht="18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ht="18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ht="18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ht="18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ht="18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ht="18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ht="18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ht="18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ht="18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ht="18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ht="18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ht="18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ht="18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ht="18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ht="18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</row>
    <row r="769" ht="18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</row>
    <row r="770" ht="18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</row>
    <row r="771" ht="18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</row>
    <row r="772" ht="18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</row>
    <row r="773" ht="18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</row>
    <row r="774" ht="18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</row>
    <row r="775" ht="18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</row>
    <row r="776" ht="18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</row>
    <row r="777" ht="18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</row>
    <row r="778" ht="18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</row>
    <row r="779" ht="18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</row>
    <row r="780" ht="18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</row>
    <row r="781" ht="18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</row>
    <row r="782" ht="18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</row>
    <row r="783" ht="18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</row>
    <row r="784" ht="18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</row>
    <row r="785" ht="18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</row>
    <row r="786" ht="18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</row>
    <row r="787" ht="18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</row>
    <row r="788" ht="18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</row>
    <row r="789" ht="18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</row>
    <row r="790" ht="18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</row>
    <row r="791" ht="18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</row>
    <row r="792" ht="18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</row>
    <row r="793" ht="18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</row>
    <row r="794" ht="18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</row>
    <row r="795" ht="18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</row>
    <row r="796" ht="18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</row>
    <row r="797" ht="18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</row>
    <row r="798" ht="18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</row>
    <row r="799" ht="18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</row>
    <row r="800" ht="18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</row>
    <row r="801" ht="18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</row>
    <row r="802" ht="18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</row>
    <row r="803" ht="18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</row>
    <row r="804" ht="18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</row>
    <row r="805" ht="18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</row>
    <row r="806" ht="18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</row>
    <row r="807" ht="18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</row>
    <row r="808" ht="18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</row>
    <row r="809" ht="18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</row>
    <row r="810" ht="18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</row>
    <row r="811" ht="18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</row>
    <row r="812" ht="18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</row>
    <row r="813" ht="18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</row>
    <row r="814" ht="18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</row>
    <row r="815" ht="18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</row>
    <row r="816" ht="18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</row>
    <row r="817" ht="18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</row>
    <row r="818" ht="18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</row>
    <row r="819" ht="18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</row>
    <row r="820" ht="18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</row>
    <row r="821" ht="18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</row>
    <row r="822" ht="18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</row>
    <row r="823" ht="18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</row>
    <row r="824" ht="18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</row>
    <row r="825" ht="18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</row>
    <row r="826" ht="18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</row>
    <row r="827" ht="18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</row>
    <row r="828" ht="18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</row>
    <row r="829" ht="18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</row>
    <row r="830" ht="18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</row>
    <row r="831" ht="18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</row>
    <row r="832" ht="18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</row>
    <row r="833" ht="18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</row>
    <row r="834" ht="18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</row>
    <row r="835" ht="18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</row>
    <row r="836" ht="18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</row>
    <row r="837" ht="18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</row>
    <row r="838" ht="18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</row>
    <row r="839" ht="18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</row>
    <row r="840" ht="18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</row>
    <row r="841" ht="18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</row>
    <row r="842" ht="18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</row>
    <row r="843" ht="18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</row>
    <row r="844" ht="18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</row>
    <row r="845" ht="18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</row>
    <row r="846" ht="18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</row>
    <row r="847" ht="18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</row>
    <row r="848" ht="18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</row>
    <row r="849" ht="18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</row>
    <row r="850" ht="18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</row>
    <row r="851" ht="18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</row>
    <row r="852" ht="18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</row>
    <row r="853" ht="18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</row>
    <row r="854" ht="18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</row>
    <row r="855" ht="18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</row>
    <row r="856" ht="18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</row>
    <row r="857" ht="18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</row>
    <row r="858" ht="18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</row>
    <row r="859" ht="18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</row>
    <row r="860" ht="18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</row>
    <row r="861" ht="18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</row>
    <row r="862" ht="18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</row>
    <row r="863" ht="18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</row>
    <row r="864" ht="18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</row>
    <row r="865" ht="18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</row>
    <row r="866" ht="18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</row>
    <row r="867" ht="18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</row>
    <row r="868" ht="18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</row>
    <row r="869" ht="18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</row>
    <row r="870" ht="18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</row>
    <row r="871" ht="18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</row>
    <row r="872" ht="18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</row>
    <row r="873" ht="18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</row>
    <row r="874" ht="18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</row>
    <row r="875" ht="18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</row>
    <row r="876" ht="18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</row>
    <row r="877" ht="18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</row>
    <row r="878" ht="18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</row>
    <row r="879" ht="18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</row>
    <row r="880" ht="18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</row>
    <row r="881" ht="18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</row>
    <row r="882" ht="18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</row>
    <row r="883" ht="18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</row>
    <row r="884" ht="18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</row>
    <row r="885" ht="18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</row>
    <row r="886" ht="18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</row>
    <row r="887" ht="18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</row>
    <row r="888" ht="18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</row>
    <row r="889" ht="18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</row>
    <row r="890" ht="18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</row>
    <row r="891" ht="18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</row>
    <row r="892" ht="18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</row>
    <row r="893" ht="18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</row>
    <row r="894" ht="18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</row>
    <row r="895" ht="18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</row>
    <row r="896" ht="18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</row>
    <row r="897" ht="18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</row>
    <row r="898" ht="18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</row>
    <row r="899" ht="18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</row>
    <row r="900" ht="18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</row>
    <row r="901" ht="18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</row>
    <row r="902" ht="18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</row>
    <row r="903" ht="18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</row>
    <row r="904" ht="18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</row>
    <row r="905" ht="18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</row>
    <row r="906" ht="18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</row>
    <row r="907" ht="18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</row>
    <row r="908" ht="18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</row>
    <row r="909" ht="18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</row>
    <row r="910" ht="18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</row>
    <row r="911" ht="18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</row>
    <row r="912" ht="18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</row>
    <row r="913" ht="18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</row>
    <row r="914" ht="18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</row>
    <row r="915" ht="18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</row>
    <row r="916" ht="18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</row>
    <row r="917" ht="18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</row>
    <row r="918" ht="18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</row>
    <row r="919" ht="18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</row>
    <row r="920" ht="18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</row>
    <row r="921" ht="18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</row>
    <row r="922" ht="18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</row>
    <row r="923" ht="18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</row>
    <row r="924" ht="18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</row>
    <row r="925" ht="18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</row>
    <row r="926" ht="18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</row>
    <row r="927" ht="18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</row>
    <row r="928" ht="18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</row>
    <row r="929" ht="18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</row>
    <row r="930" ht="18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</row>
    <row r="931" ht="18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</row>
    <row r="932" ht="18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</row>
    <row r="933" ht="18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</row>
    <row r="934" ht="18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</row>
    <row r="935" ht="18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</row>
    <row r="936" ht="18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</row>
    <row r="937" ht="18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</row>
    <row r="938" ht="18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</row>
    <row r="939" ht="18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</row>
    <row r="940" ht="18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</row>
    <row r="941" ht="18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</row>
    <row r="942" ht="18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</row>
    <row r="943" ht="18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</row>
    <row r="944" ht="18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</row>
    <row r="945" ht="18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</row>
    <row r="946" ht="18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</row>
    <row r="947" ht="18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</row>
    <row r="948" ht="18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</row>
    <row r="949" ht="18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</row>
    <row r="950" ht="18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</row>
    <row r="951" ht="18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</row>
    <row r="952" ht="18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</row>
    <row r="953" ht="18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</row>
    <row r="954" ht="18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</row>
    <row r="955" ht="18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</row>
    <row r="956" ht="18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</row>
    <row r="957" ht="18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</row>
    <row r="958" ht="18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</row>
    <row r="959" ht="18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</row>
    <row r="960" ht="18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</row>
    <row r="961" ht="18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</row>
    <row r="962" ht="18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</row>
    <row r="963" ht="18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</row>
    <row r="964" ht="18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</row>
    <row r="965" ht="18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</row>
    <row r="966" ht="18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</row>
    <row r="967" ht="18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</row>
    <row r="968" ht="18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</row>
    <row r="969" ht="18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</row>
    <row r="970" ht="18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</row>
    <row r="971" ht="18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</row>
    <row r="972" ht="18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</row>
    <row r="973" ht="18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</row>
    <row r="974" ht="18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</row>
    <row r="975" ht="18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</row>
    <row r="976" ht="18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</row>
    <row r="977" ht="18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</row>
    <row r="978" ht="18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</row>
    <row r="979" ht="18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</row>
    <row r="980" ht="18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</row>
    <row r="981" ht="18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</row>
    <row r="982" ht="18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</row>
    <row r="983" ht="18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</row>
    <row r="984" ht="18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</row>
    <row r="985" ht="18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</row>
    <row r="986" ht="18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</row>
    <row r="987" ht="18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</row>
    <row r="988" ht="18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</row>
    <row r="989" ht="18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</row>
    <row r="990" ht="18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</row>
    <row r="991" ht="18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</row>
    <row r="992" ht="18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</row>
    <row r="993" ht="18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</row>
    <row r="994" ht="18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</row>
    <row r="995" ht="18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</row>
    <row r="996" ht="18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</row>
    <row r="997" ht="18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</row>
  </sheetData>
  <mergeCells count="44">
    <mergeCell ref="L1:AM1"/>
    <mergeCell ref="L2:R2"/>
    <mergeCell ref="S2:Y2"/>
    <mergeCell ref="Z2:AF2"/>
    <mergeCell ref="AG2:AM2"/>
    <mergeCell ref="L3:U3"/>
    <mergeCell ref="L4:U4"/>
    <mergeCell ref="L5:U5"/>
    <mergeCell ref="T6:U6"/>
    <mergeCell ref="T7:U7"/>
    <mergeCell ref="T8:U8"/>
    <mergeCell ref="T9:U9"/>
    <mergeCell ref="T10:U10"/>
    <mergeCell ref="T11:U11"/>
    <mergeCell ref="T12:U12"/>
    <mergeCell ref="T13:U13"/>
    <mergeCell ref="U14:AA14"/>
    <mergeCell ref="U15:W15"/>
    <mergeCell ref="U16:V16"/>
    <mergeCell ref="U17:V17"/>
    <mergeCell ref="Z20:AA20"/>
    <mergeCell ref="Z23:AA23"/>
    <mergeCell ref="Z24:AA24"/>
    <mergeCell ref="Z25:AA25"/>
    <mergeCell ref="Z26:AA26"/>
    <mergeCell ref="Z27:AA27"/>
    <mergeCell ref="Z28:AA28"/>
    <mergeCell ref="Z29:AA29"/>
    <mergeCell ref="AB30:AG30"/>
    <mergeCell ref="AB31:AE31"/>
    <mergeCell ref="AB33:AC33"/>
    <mergeCell ref="AC34:AD34"/>
    <mergeCell ref="AC35:AE35"/>
    <mergeCell ref="AB36:AG36"/>
    <mergeCell ref="AB40:AC40"/>
    <mergeCell ref="AD48:AG48"/>
    <mergeCell ref="AH50:AI50"/>
    <mergeCell ref="AC41:AD41"/>
    <mergeCell ref="AC42:AD42"/>
    <mergeCell ref="AE43:AG43"/>
    <mergeCell ref="AE44:AG44"/>
    <mergeCell ref="Z45:AI45"/>
    <mergeCell ref="Z46:AE46"/>
    <mergeCell ref="AF47:AG47"/>
  </mergeCells>
  <dataValidations>
    <dataValidation type="list" allowBlank="1" showErrorMessage="1" sqref="K3:K51">
      <formula1>"완료,진행중,대기"</formula1>
    </dataValidation>
  </dataValidation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3.38"/>
    <col customWidth="1" min="3" max="3" width="51.38"/>
  </cols>
  <sheetData>
    <row r="1" ht="21.0" customHeight="1">
      <c r="A1" s="73" t="s">
        <v>190</v>
      </c>
      <c r="B1" s="37"/>
      <c r="C1" s="74"/>
      <c r="D1" s="74"/>
      <c r="E1" s="74"/>
    </row>
    <row r="2">
      <c r="A2" s="32" t="s">
        <v>191</v>
      </c>
      <c r="B2" s="32" t="s">
        <v>24</v>
      </c>
      <c r="C2" s="32" t="s">
        <v>192</v>
      </c>
      <c r="D2" s="32" t="s">
        <v>40</v>
      </c>
      <c r="E2" s="32" t="s">
        <v>9</v>
      </c>
      <c r="F2" s="32" t="s">
        <v>193</v>
      </c>
    </row>
    <row r="3">
      <c r="A3" s="75">
        <v>45973.0</v>
      </c>
      <c r="B3" s="76">
        <v>0.75</v>
      </c>
      <c r="C3" s="77" t="s">
        <v>56</v>
      </c>
      <c r="D3" s="77">
        <v>1.1</v>
      </c>
      <c r="E3" s="77" t="s">
        <v>194</v>
      </c>
    </row>
    <row r="4">
      <c r="C4" s="77" t="s">
        <v>195</v>
      </c>
      <c r="D4" s="77">
        <v>1.1</v>
      </c>
      <c r="E4" s="77" t="s">
        <v>194</v>
      </c>
    </row>
  </sheetData>
  <mergeCells count="3">
    <mergeCell ref="A1:B1"/>
    <mergeCell ref="A3:A4"/>
    <mergeCell ref="B3:B4"/>
  </mergeCells>
  <dataValidations>
    <dataValidation type="list" allowBlank="1" showErrorMessage="1" sqref="E3:E4">
      <formula1>"완료,진행중,대기"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outlinePr summaryBelow="0" summaryRight="0"/>
  </sheetPr>
  <sheetViews>
    <sheetView workbookViewId="0"/>
  </sheetViews>
  <sheetFormatPr customHeight="1" defaultColWidth="12.63" defaultRowHeight="15.75"/>
  <cols>
    <col customWidth="1" min="3" max="3" width="51.38"/>
  </cols>
  <sheetData>
    <row r="1">
      <c r="A1" s="73" t="s">
        <v>196</v>
      </c>
      <c r="B1" s="37"/>
      <c r="C1" s="74"/>
      <c r="D1" s="74"/>
      <c r="E1" s="74"/>
    </row>
    <row r="2">
      <c r="A2" s="32" t="s">
        <v>191</v>
      </c>
      <c r="B2" s="32" t="s">
        <v>24</v>
      </c>
      <c r="C2" s="32" t="s">
        <v>192</v>
      </c>
      <c r="D2" s="32" t="s">
        <v>40</v>
      </c>
      <c r="E2" s="32" t="s">
        <v>9</v>
      </c>
      <c r="F2" s="32" t="s">
        <v>193</v>
      </c>
    </row>
    <row r="3">
      <c r="A3" s="75">
        <v>45973.0</v>
      </c>
      <c r="B3" s="76">
        <v>0.75</v>
      </c>
      <c r="C3" s="49" t="s">
        <v>75</v>
      </c>
      <c r="D3" s="49" t="s">
        <v>74</v>
      </c>
      <c r="E3" s="49" t="s">
        <v>194</v>
      </c>
      <c r="F3" s="78"/>
    </row>
    <row r="4">
      <c r="C4" s="49" t="s">
        <v>79</v>
      </c>
      <c r="D4" s="49" t="s">
        <v>78</v>
      </c>
      <c r="E4" s="49" t="s">
        <v>194</v>
      </c>
      <c r="F4" s="78"/>
    </row>
    <row r="5">
      <c r="C5" s="49" t="s">
        <v>83</v>
      </c>
      <c r="D5" s="49" t="s">
        <v>82</v>
      </c>
      <c r="E5" s="49" t="s">
        <v>194</v>
      </c>
      <c r="F5" s="78"/>
    </row>
    <row r="6">
      <c r="C6" s="49" t="s">
        <v>93</v>
      </c>
      <c r="D6" s="49" t="s">
        <v>85</v>
      </c>
      <c r="E6" s="49" t="s">
        <v>194</v>
      </c>
      <c r="F6" s="78"/>
    </row>
  </sheetData>
  <mergeCells count="3">
    <mergeCell ref="A1:B1"/>
    <mergeCell ref="A3:A6"/>
    <mergeCell ref="B3:B6"/>
  </mergeCells>
  <dataValidations>
    <dataValidation type="list" allowBlank="1" showErrorMessage="1" sqref="E3:E6">
      <formula1>"완료,진행중,대기"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outlinePr summaryBelow="0" summaryRight="0"/>
  </sheetPr>
  <sheetViews>
    <sheetView workbookViewId="0"/>
  </sheetViews>
  <sheetFormatPr customHeight="1" defaultColWidth="12.63" defaultRowHeight="15.75"/>
  <cols>
    <col customWidth="1" min="3" max="3" width="51.38"/>
  </cols>
  <sheetData>
    <row r="1">
      <c r="A1" s="73" t="s">
        <v>197</v>
      </c>
      <c r="B1" s="37"/>
      <c r="C1" s="74"/>
      <c r="D1" s="74"/>
      <c r="E1" s="74"/>
    </row>
    <row r="2">
      <c r="A2" s="32" t="s">
        <v>191</v>
      </c>
      <c r="B2" s="32" t="s">
        <v>24</v>
      </c>
      <c r="C2" s="32" t="s">
        <v>192</v>
      </c>
      <c r="D2" s="32" t="s">
        <v>40</v>
      </c>
      <c r="E2" s="32" t="s">
        <v>9</v>
      </c>
      <c r="F2" s="32" t="s">
        <v>193</v>
      </c>
    </row>
    <row r="3">
      <c r="A3" s="75">
        <v>45973.0</v>
      </c>
      <c r="B3" s="76">
        <v>0.75</v>
      </c>
      <c r="C3" s="49" t="s">
        <v>75</v>
      </c>
      <c r="D3" s="79" t="s">
        <v>74</v>
      </c>
      <c r="E3" s="49" t="s">
        <v>194</v>
      </c>
    </row>
    <row r="4">
      <c r="C4" s="49" t="s">
        <v>79</v>
      </c>
      <c r="D4" s="79" t="s">
        <v>78</v>
      </c>
      <c r="E4" s="49" t="s">
        <v>194</v>
      </c>
    </row>
    <row r="5">
      <c r="C5" s="49" t="s">
        <v>83</v>
      </c>
      <c r="D5" s="79" t="s">
        <v>82</v>
      </c>
      <c r="E5" s="49" t="s">
        <v>194</v>
      </c>
    </row>
    <row r="6">
      <c r="B6" s="78"/>
      <c r="C6" s="78"/>
      <c r="D6" s="78"/>
    </row>
    <row r="7">
      <c r="B7" s="78"/>
      <c r="C7" s="78"/>
      <c r="D7" s="78"/>
    </row>
    <row r="8">
      <c r="B8" s="78"/>
      <c r="C8" s="78"/>
      <c r="D8" s="78"/>
    </row>
    <row r="9">
      <c r="B9" s="78"/>
      <c r="C9" s="78"/>
      <c r="D9" s="78"/>
    </row>
    <row r="10">
      <c r="B10" s="78"/>
      <c r="C10" s="78"/>
      <c r="D10" s="78"/>
    </row>
    <row r="11">
      <c r="B11" s="78"/>
      <c r="C11" s="78"/>
      <c r="D11" s="78"/>
    </row>
    <row r="12">
      <c r="B12" s="78"/>
      <c r="C12" s="78"/>
      <c r="D12" s="78"/>
    </row>
    <row r="13">
      <c r="B13" s="78"/>
      <c r="C13" s="78"/>
      <c r="D13" s="78"/>
    </row>
    <row r="14">
      <c r="B14" s="78"/>
      <c r="C14" s="78"/>
      <c r="D14" s="78"/>
    </row>
    <row r="15">
      <c r="B15" s="78"/>
      <c r="C15" s="78"/>
      <c r="D15" s="78"/>
    </row>
    <row r="16">
      <c r="B16" s="78"/>
      <c r="C16" s="78"/>
      <c r="D16" s="78"/>
    </row>
    <row r="17">
      <c r="B17" s="78"/>
      <c r="C17" s="78"/>
      <c r="D17" s="78"/>
    </row>
    <row r="18">
      <c r="B18" s="78"/>
      <c r="C18" s="78"/>
      <c r="D18" s="78"/>
    </row>
    <row r="19">
      <c r="B19" s="78"/>
      <c r="C19" s="78"/>
      <c r="D19" s="78"/>
    </row>
    <row r="20">
      <c r="B20" s="78"/>
      <c r="C20" s="78"/>
      <c r="D20" s="78"/>
    </row>
    <row r="21">
      <c r="B21" s="78"/>
      <c r="C21" s="78"/>
      <c r="D21" s="78"/>
    </row>
    <row r="22">
      <c r="B22" s="78"/>
      <c r="C22" s="78"/>
      <c r="D22" s="78"/>
    </row>
    <row r="23">
      <c r="B23" s="78"/>
      <c r="C23" s="78"/>
      <c r="D23" s="78"/>
    </row>
    <row r="24">
      <c r="B24" s="78"/>
      <c r="C24" s="78"/>
      <c r="D24" s="78"/>
    </row>
    <row r="25">
      <c r="B25" s="78"/>
      <c r="C25" s="78"/>
      <c r="D25" s="78"/>
    </row>
    <row r="26">
      <c r="B26" s="78"/>
      <c r="C26" s="78"/>
      <c r="D26" s="78"/>
    </row>
    <row r="27">
      <c r="B27" s="78"/>
      <c r="C27" s="78"/>
      <c r="D27" s="78"/>
    </row>
    <row r="28">
      <c r="B28" s="78"/>
      <c r="C28" s="78"/>
      <c r="D28" s="78"/>
    </row>
    <row r="29">
      <c r="B29" s="78"/>
      <c r="C29" s="78"/>
      <c r="D29" s="78"/>
    </row>
    <row r="30">
      <c r="B30" s="78"/>
      <c r="C30" s="78"/>
      <c r="D30" s="78"/>
    </row>
    <row r="31">
      <c r="B31" s="78"/>
      <c r="C31" s="78"/>
      <c r="D31" s="78"/>
    </row>
    <row r="32">
      <c r="B32" s="78"/>
      <c r="C32" s="78"/>
      <c r="D32" s="78"/>
    </row>
    <row r="33">
      <c r="B33" s="78"/>
      <c r="C33" s="78"/>
      <c r="D33" s="78"/>
    </row>
    <row r="34">
      <c r="B34" s="78"/>
      <c r="C34" s="78"/>
      <c r="D34" s="78"/>
    </row>
    <row r="35">
      <c r="B35" s="78"/>
      <c r="C35" s="78"/>
      <c r="D35" s="78"/>
    </row>
    <row r="36">
      <c r="B36" s="78"/>
      <c r="C36" s="78"/>
      <c r="D36" s="78"/>
    </row>
    <row r="37">
      <c r="B37" s="78"/>
      <c r="C37" s="78"/>
      <c r="D37" s="78"/>
    </row>
    <row r="38">
      <c r="B38" s="78"/>
      <c r="C38" s="78"/>
      <c r="D38" s="78"/>
    </row>
    <row r="39">
      <c r="B39" s="78"/>
      <c r="C39" s="78"/>
      <c r="D39" s="78"/>
    </row>
    <row r="40">
      <c r="B40" s="78"/>
      <c r="C40" s="78"/>
      <c r="D40" s="78"/>
    </row>
    <row r="41">
      <c r="B41" s="78"/>
      <c r="C41" s="78"/>
      <c r="D41" s="78"/>
    </row>
    <row r="42">
      <c r="B42" s="78"/>
      <c r="C42" s="78"/>
      <c r="D42" s="78"/>
    </row>
    <row r="43">
      <c r="B43" s="78"/>
      <c r="C43" s="78"/>
      <c r="D43" s="78"/>
    </row>
    <row r="44">
      <c r="B44" s="78"/>
      <c r="C44" s="78"/>
      <c r="D44" s="78"/>
    </row>
    <row r="45">
      <c r="B45" s="78"/>
      <c r="C45" s="78"/>
      <c r="D45" s="78"/>
    </row>
    <row r="46">
      <c r="B46" s="78"/>
      <c r="C46" s="78"/>
      <c r="D46" s="78"/>
    </row>
    <row r="47">
      <c r="B47" s="78"/>
      <c r="C47" s="78"/>
      <c r="D47" s="78"/>
    </row>
    <row r="48">
      <c r="B48" s="78"/>
      <c r="C48" s="78"/>
      <c r="D48" s="78"/>
    </row>
    <row r="49">
      <c r="B49" s="78"/>
      <c r="C49" s="78"/>
      <c r="D49" s="78"/>
    </row>
    <row r="50">
      <c r="B50" s="78"/>
      <c r="C50" s="78"/>
      <c r="D50" s="78"/>
    </row>
    <row r="51">
      <c r="B51" s="78"/>
      <c r="C51" s="78"/>
      <c r="D51" s="78"/>
    </row>
    <row r="52">
      <c r="B52" s="78"/>
      <c r="C52" s="78"/>
      <c r="D52" s="78"/>
    </row>
    <row r="53">
      <c r="B53" s="78"/>
      <c r="C53" s="78"/>
      <c r="D53" s="78"/>
    </row>
    <row r="54">
      <c r="B54" s="78"/>
      <c r="C54" s="78"/>
      <c r="D54" s="78"/>
    </row>
    <row r="55">
      <c r="B55" s="78"/>
      <c r="C55" s="78"/>
      <c r="D55" s="78"/>
    </row>
    <row r="56">
      <c r="B56" s="78"/>
      <c r="C56" s="78"/>
      <c r="D56" s="78"/>
    </row>
    <row r="57">
      <c r="B57" s="78"/>
      <c r="C57" s="78"/>
      <c r="D57" s="78"/>
    </row>
    <row r="58">
      <c r="B58" s="78"/>
      <c r="C58" s="78"/>
      <c r="D58" s="78"/>
    </row>
    <row r="59">
      <c r="B59" s="78"/>
      <c r="C59" s="78"/>
      <c r="D59" s="78"/>
    </row>
    <row r="60">
      <c r="B60" s="78"/>
      <c r="C60" s="78"/>
      <c r="D60" s="78"/>
    </row>
    <row r="61">
      <c r="B61" s="78"/>
      <c r="C61" s="78"/>
      <c r="D61" s="78"/>
    </row>
    <row r="62">
      <c r="B62" s="78"/>
      <c r="C62" s="78"/>
      <c r="D62" s="78"/>
    </row>
    <row r="63">
      <c r="B63" s="78"/>
      <c r="C63" s="78"/>
      <c r="D63" s="78"/>
    </row>
    <row r="64">
      <c r="B64" s="78"/>
      <c r="C64" s="78"/>
      <c r="D64" s="78"/>
    </row>
    <row r="65">
      <c r="B65" s="78"/>
      <c r="C65" s="78"/>
      <c r="D65" s="78"/>
    </row>
    <row r="66">
      <c r="B66" s="78"/>
      <c r="C66" s="78"/>
      <c r="D66" s="78"/>
    </row>
    <row r="67">
      <c r="B67" s="78"/>
      <c r="C67" s="78"/>
      <c r="D67" s="78"/>
    </row>
    <row r="68">
      <c r="B68" s="78"/>
      <c r="C68" s="78"/>
      <c r="D68" s="78"/>
    </row>
    <row r="69">
      <c r="B69" s="78"/>
      <c r="C69" s="78"/>
      <c r="D69" s="78"/>
    </row>
    <row r="70">
      <c r="B70" s="78"/>
      <c r="C70" s="78"/>
      <c r="D70" s="78"/>
    </row>
    <row r="71">
      <c r="B71" s="78"/>
      <c r="C71" s="78"/>
      <c r="D71" s="78"/>
    </row>
    <row r="72">
      <c r="B72" s="78"/>
      <c r="C72" s="78"/>
      <c r="D72" s="78"/>
    </row>
    <row r="73">
      <c r="B73" s="78"/>
      <c r="C73" s="78"/>
      <c r="D73" s="78"/>
    </row>
    <row r="74">
      <c r="B74" s="78"/>
      <c r="C74" s="78"/>
      <c r="D74" s="78"/>
    </row>
    <row r="75">
      <c r="B75" s="78"/>
      <c r="C75" s="78"/>
      <c r="D75" s="78"/>
    </row>
    <row r="76">
      <c r="B76" s="78"/>
      <c r="C76" s="78"/>
      <c r="D76" s="78"/>
    </row>
    <row r="77">
      <c r="B77" s="78"/>
      <c r="C77" s="78"/>
      <c r="D77" s="78"/>
    </row>
    <row r="78">
      <c r="B78" s="78"/>
      <c r="C78" s="78"/>
      <c r="D78" s="78"/>
    </row>
    <row r="79">
      <c r="B79" s="78"/>
      <c r="C79" s="78"/>
      <c r="D79" s="78"/>
    </row>
    <row r="80">
      <c r="B80" s="78"/>
      <c r="C80" s="78"/>
      <c r="D80" s="78"/>
    </row>
    <row r="81">
      <c r="B81" s="78"/>
      <c r="C81" s="78"/>
      <c r="D81" s="78"/>
    </row>
    <row r="82">
      <c r="B82" s="78"/>
      <c r="C82" s="78"/>
      <c r="D82" s="78"/>
    </row>
    <row r="83">
      <c r="B83" s="78"/>
      <c r="C83" s="78"/>
      <c r="D83" s="78"/>
    </row>
    <row r="84">
      <c r="B84" s="78"/>
      <c r="C84" s="78"/>
      <c r="D84" s="78"/>
    </row>
    <row r="85">
      <c r="B85" s="78"/>
      <c r="C85" s="78"/>
      <c r="D85" s="78"/>
    </row>
    <row r="86">
      <c r="B86" s="78"/>
      <c r="C86" s="78"/>
      <c r="D86" s="78"/>
    </row>
    <row r="87">
      <c r="B87" s="78"/>
      <c r="C87" s="78"/>
      <c r="D87" s="78"/>
    </row>
    <row r="88">
      <c r="B88" s="78"/>
      <c r="C88" s="78"/>
      <c r="D88" s="78"/>
    </row>
    <row r="89">
      <c r="B89" s="78"/>
      <c r="C89" s="78"/>
      <c r="D89" s="78"/>
    </row>
    <row r="90">
      <c r="B90" s="78"/>
      <c r="C90" s="78"/>
      <c r="D90" s="78"/>
    </row>
    <row r="91">
      <c r="B91" s="78"/>
      <c r="C91" s="78"/>
      <c r="D91" s="78"/>
    </row>
    <row r="92">
      <c r="B92" s="78"/>
      <c r="C92" s="78"/>
      <c r="D92" s="78"/>
    </row>
    <row r="93">
      <c r="B93" s="78"/>
      <c r="C93" s="78"/>
      <c r="D93" s="78"/>
    </row>
    <row r="94">
      <c r="B94" s="78"/>
      <c r="C94" s="78"/>
      <c r="D94" s="78"/>
    </row>
    <row r="95">
      <c r="B95" s="78"/>
      <c r="C95" s="78"/>
      <c r="D95" s="78"/>
    </row>
    <row r="96">
      <c r="B96" s="78"/>
      <c r="C96" s="78"/>
      <c r="D96" s="78"/>
    </row>
    <row r="97">
      <c r="B97" s="78"/>
      <c r="C97" s="78"/>
      <c r="D97" s="78"/>
    </row>
    <row r="98">
      <c r="B98" s="78"/>
      <c r="C98" s="78"/>
      <c r="D98" s="78"/>
    </row>
    <row r="99">
      <c r="B99" s="78"/>
      <c r="C99" s="78"/>
      <c r="D99" s="78"/>
    </row>
    <row r="100">
      <c r="B100" s="78"/>
      <c r="C100" s="78"/>
      <c r="D100" s="78"/>
    </row>
    <row r="101">
      <c r="B101" s="78"/>
      <c r="C101" s="78"/>
      <c r="D101" s="78"/>
    </row>
    <row r="102">
      <c r="B102" s="78"/>
      <c r="C102" s="78"/>
      <c r="D102" s="78"/>
    </row>
    <row r="103">
      <c r="B103" s="78"/>
      <c r="C103" s="78"/>
      <c r="D103" s="78"/>
    </row>
    <row r="104">
      <c r="B104" s="78"/>
      <c r="C104" s="78"/>
      <c r="D104" s="78"/>
    </row>
    <row r="105">
      <c r="B105" s="78"/>
      <c r="C105" s="78"/>
      <c r="D105" s="78"/>
    </row>
    <row r="106">
      <c r="B106" s="78"/>
      <c r="C106" s="78"/>
      <c r="D106" s="78"/>
    </row>
    <row r="107">
      <c r="B107" s="78"/>
      <c r="C107" s="78"/>
      <c r="D107" s="78"/>
    </row>
    <row r="108">
      <c r="B108" s="78"/>
      <c r="C108" s="78"/>
      <c r="D108" s="78"/>
    </row>
    <row r="109">
      <c r="B109" s="78"/>
      <c r="C109" s="78"/>
      <c r="D109" s="78"/>
    </row>
    <row r="110">
      <c r="B110" s="78"/>
      <c r="C110" s="78"/>
      <c r="D110" s="78"/>
    </row>
    <row r="111">
      <c r="B111" s="78"/>
      <c r="C111" s="78"/>
      <c r="D111" s="78"/>
    </row>
    <row r="112">
      <c r="B112" s="78"/>
      <c r="C112" s="78"/>
      <c r="D112" s="78"/>
    </row>
    <row r="113">
      <c r="B113" s="78"/>
      <c r="C113" s="78"/>
      <c r="D113" s="78"/>
    </row>
    <row r="114">
      <c r="B114" s="78"/>
      <c r="C114" s="78"/>
      <c r="D114" s="78"/>
    </row>
    <row r="115">
      <c r="B115" s="78"/>
      <c r="C115" s="78"/>
      <c r="D115" s="78"/>
    </row>
    <row r="116">
      <c r="B116" s="78"/>
      <c r="C116" s="78"/>
      <c r="D116" s="78"/>
    </row>
    <row r="117">
      <c r="B117" s="78"/>
      <c r="C117" s="78"/>
      <c r="D117" s="78"/>
    </row>
    <row r="118">
      <c r="B118" s="78"/>
      <c r="C118" s="78"/>
      <c r="D118" s="78"/>
    </row>
    <row r="119">
      <c r="B119" s="78"/>
      <c r="C119" s="78"/>
      <c r="D119" s="78"/>
    </row>
    <row r="120">
      <c r="B120" s="78"/>
      <c r="C120" s="78"/>
      <c r="D120" s="78"/>
    </row>
    <row r="121">
      <c r="B121" s="78"/>
      <c r="C121" s="78"/>
      <c r="D121" s="78"/>
    </row>
    <row r="122">
      <c r="B122" s="78"/>
      <c r="C122" s="78"/>
      <c r="D122" s="78"/>
    </row>
    <row r="123">
      <c r="B123" s="78"/>
      <c r="C123" s="78"/>
      <c r="D123" s="78"/>
    </row>
    <row r="124">
      <c r="B124" s="78"/>
      <c r="C124" s="78"/>
      <c r="D124" s="78"/>
    </row>
    <row r="125">
      <c r="B125" s="78"/>
      <c r="C125" s="78"/>
      <c r="D125" s="78"/>
    </row>
    <row r="126">
      <c r="B126" s="78"/>
      <c r="C126" s="78"/>
      <c r="D126" s="78"/>
    </row>
    <row r="127">
      <c r="B127" s="78"/>
      <c r="C127" s="78"/>
      <c r="D127" s="78"/>
    </row>
    <row r="128">
      <c r="B128" s="78"/>
      <c r="C128" s="78"/>
      <c r="D128" s="78"/>
    </row>
    <row r="129">
      <c r="B129" s="78"/>
      <c r="C129" s="78"/>
      <c r="D129" s="78"/>
    </row>
    <row r="130">
      <c r="B130" s="78"/>
      <c r="C130" s="78"/>
      <c r="D130" s="78"/>
    </row>
    <row r="131">
      <c r="B131" s="78"/>
      <c r="C131" s="78"/>
      <c r="D131" s="78"/>
    </row>
    <row r="132">
      <c r="B132" s="78"/>
      <c r="C132" s="78"/>
      <c r="D132" s="78"/>
    </row>
    <row r="133">
      <c r="B133" s="78"/>
      <c r="C133" s="78"/>
      <c r="D133" s="78"/>
    </row>
    <row r="134">
      <c r="B134" s="78"/>
      <c r="C134" s="78"/>
      <c r="D134" s="78"/>
    </row>
    <row r="135">
      <c r="B135" s="78"/>
      <c r="C135" s="78"/>
      <c r="D135" s="78"/>
    </row>
    <row r="136">
      <c r="B136" s="78"/>
      <c r="C136" s="78"/>
      <c r="D136" s="78"/>
    </row>
    <row r="137">
      <c r="B137" s="78"/>
      <c r="C137" s="78"/>
      <c r="D137" s="78"/>
    </row>
    <row r="138">
      <c r="B138" s="78"/>
      <c r="C138" s="78"/>
      <c r="D138" s="78"/>
    </row>
    <row r="139">
      <c r="B139" s="78"/>
      <c r="C139" s="78"/>
      <c r="D139" s="78"/>
    </row>
    <row r="140">
      <c r="B140" s="78"/>
      <c r="C140" s="78"/>
      <c r="D140" s="78"/>
    </row>
    <row r="141">
      <c r="B141" s="78"/>
      <c r="C141" s="78"/>
      <c r="D141" s="78"/>
    </row>
    <row r="142">
      <c r="B142" s="78"/>
      <c r="C142" s="78"/>
      <c r="D142" s="78"/>
    </row>
    <row r="143">
      <c r="B143" s="78"/>
      <c r="C143" s="78"/>
      <c r="D143" s="78"/>
    </row>
    <row r="144">
      <c r="B144" s="78"/>
      <c r="C144" s="78"/>
      <c r="D144" s="78"/>
    </row>
    <row r="145">
      <c r="B145" s="78"/>
      <c r="C145" s="78"/>
      <c r="D145" s="78"/>
    </row>
    <row r="146">
      <c r="B146" s="78"/>
      <c r="C146" s="78"/>
      <c r="D146" s="78"/>
    </row>
    <row r="147">
      <c r="B147" s="78"/>
      <c r="C147" s="78"/>
      <c r="D147" s="78"/>
    </row>
    <row r="148">
      <c r="B148" s="78"/>
      <c r="C148" s="78"/>
      <c r="D148" s="78"/>
    </row>
    <row r="149">
      <c r="B149" s="78"/>
      <c r="C149" s="78"/>
      <c r="D149" s="78"/>
    </row>
    <row r="150">
      <c r="B150" s="78"/>
      <c r="C150" s="78"/>
      <c r="D150" s="78"/>
    </row>
    <row r="151">
      <c r="B151" s="78"/>
      <c r="C151" s="78"/>
      <c r="D151" s="78"/>
    </row>
    <row r="152">
      <c r="B152" s="78"/>
      <c r="C152" s="78"/>
      <c r="D152" s="78"/>
    </row>
    <row r="153">
      <c r="B153" s="78"/>
      <c r="C153" s="78"/>
      <c r="D153" s="78"/>
    </row>
    <row r="154">
      <c r="B154" s="78"/>
      <c r="C154" s="78"/>
      <c r="D154" s="78"/>
    </row>
    <row r="155">
      <c r="B155" s="78"/>
      <c r="C155" s="78"/>
      <c r="D155" s="78"/>
    </row>
    <row r="156">
      <c r="B156" s="78"/>
      <c r="C156" s="78"/>
      <c r="D156" s="78"/>
    </row>
    <row r="157">
      <c r="B157" s="78"/>
      <c r="C157" s="78"/>
      <c r="D157" s="78"/>
    </row>
    <row r="158">
      <c r="B158" s="78"/>
      <c r="C158" s="78"/>
      <c r="D158" s="78"/>
    </row>
    <row r="159">
      <c r="B159" s="78"/>
      <c r="C159" s="78"/>
      <c r="D159" s="78"/>
    </row>
    <row r="160">
      <c r="B160" s="78"/>
      <c r="C160" s="78"/>
      <c r="D160" s="78"/>
    </row>
    <row r="161">
      <c r="B161" s="78"/>
      <c r="C161" s="78"/>
      <c r="D161" s="78"/>
    </row>
    <row r="162">
      <c r="B162" s="78"/>
      <c r="C162" s="78"/>
      <c r="D162" s="78"/>
    </row>
    <row r="163">
      <c r="B163" s="78"/>
      <c r="C163" s="78"/>
      <c r="D163" s="78"/>
    </row>
    <row r="164">
      <c r="B164" s="78"/>
      <c r="C164" s="78"/>
      <c r="D164" s="78"/>
    </row>
    <row r="165">
      <c r="B165" s="78"/>
      <c r="C165" s="78"/>
      <c r="D165" s="78"/>
    </row>
    <row r="166">
      <c r="B166" s="78"/>
      <c r="C166" s="78"/>
      <c r="D166" s="78"/>
    </row>
    <row r="167">
      <c r="B167" s="78"/>
      <c r="C167" s="78"/>
      <c r="D167" s="78"/>
    </row>
    <row r="168">
      <c r="B168" s="78"/>
      <c r="C168" s="78"/>
      <c r="D168" s="78"/>
    </row>
    <row r="169">
      <c r="B169" s="78"/>
      <c r="C169" s="78"/>
      <c r="D169" s="78"/>
    </row>
    <row r="170">
      <c r="B170" s="78"/>
      <c r="C170" s="78"/>
      <c r="D170" s="78"/>
    </row>
    <row r="171">
      <c r="B171" s="78"/>
      <c r="C171" s="78"/>
      <c r="D171" s="78"/>
    </row>
    <row r="172">
      <c r="B172" s="78"/>
      <c r="C172" s="78"/>
      <c r="D172" s="78"/>
    </row>
    <row r="173">
      <c r="B173" s="78"/>
      <c r="C173" s="78"/>
      <c r="D173" s="78"/>
    </row>
    <row r="174">
      <c r="B174" s="78"/>
      <c r="C174" s="78"/>
      <c r="D174" s="78"/>
    </row>
    <row r="175">
      <c r="B175" s="78"/>
      <c r="C175" s="78"/>
      <c r="D175" s="78"/>
    </row>
    <row r="176">
      <c r="B176" s="78"/>
      <c r="C176" s="78"/>
      <c r="D176" s="78"/>
    </row>
    <row r="177">
      <c r="B177" s="78"/>
      <c r="C177" s="78"/>
      <c r="D177" s="78"/>
    </row>
    <row r="178">
      <c r="B178" s="78"/>
      <c r="C178" s="78"/>
      <c r="D178" s="78"/>
    </row>
    <row r="179">
      <c r="B179" s="78"/>
      <c r="C179" s="78"/>
      <c r="D179" s="78"/>
    </row>
    <row r="180">
      <c r="B180" s="78"/>
      <c r="C180" s="78"/>
      <c r="D180" s="78"/>
    </row>
    <row r="181">
      <c r="B181" s="78"/>
      <c r="C181" s="78"/>
      <c r="D181" s="78"/>
    </row>
    <row r="182">
      <c r="B182" s="78"/>
      <c r="C182" s="78"/>
      <c r="D182" s="78"/>
    </row>
    <row r="183">
      <c r="B183" s="78"/>
      <c r="C183" s="78"/>
      <c r="D183" s="78"/>
    </row>
    <row r="184">
      <c r="B184" s="78"/>
      <c r="C184" s="78"/>
      <c r="D184" s="78"/>
    </row>
    <row r="185">
      <c r="B185" s="78"/>
      <c r="C185" s="78"/>
      <c r="D185" s="78"/>
    </row>
    <row r="186">
      <c r="B186" s="78"/>
      <c r="C186" s="78"/>
      <c r="D186" s="78"/>
    </row>
    <row r="187">
      <c r="B187" s="78"/>
      <c r="C187" s="78"/>
      <c r="D187" s="78"/>
    </row>
    <row r="188">
      <c r="B188" s="78"/>
      <c r="C188" s="78"/>
      <c r="D188" s="78"/>
    </row>
    <row r="189">
      <c r="B189" s="78"/>
      <c r="C189" s="78"/>
      <c r="D189" s="78"/>
    </row>
    <row r="190">
      <c r="B190" s="78"/>
      <c r="C190" s="78"/>
      <c r="D190" s="78"/>
    </row>
    <row r="191">
      <c r="B191" s="78"/>
      <c r="C191" s="78"/>
      <c r="D191" s="78"/>
    </row>
    <row r="192">
      <c r="B192" s="78"/>
      <c r="C192" s="78"/>
      <c r="D192" s="78"/>
    </row>
    <row r="193">
      <c r="B193" s="78"/>
      <c r="C193" s="78"/>
      <c r="D193" s="78"/>
    </row>
    <row r="194">
      <c r="B194" s="78"/>
      <c r="C194" s="78"/>
      <c r="D194" s="78"/>
    </row>
    <row r="195">
      <c r="B195" s="78"/>
      <c r="C195" s="78"/>
      <c r="D195" s="78"/>
    </row>
    <row r="196">
      <c r="B196" s="78"/>
      <c r="C196" s="78"/>
      <c r="D196" s="78"/>
    </row>
    <row r="197">
      <c r="B197" s="78"/>
      <c r="C197" s="78"/>
      <c r="D197" s="78"/>
    </row>
    <row r="198">
      <c r="B198" s="78"/>
      <c r="C198" s="78"/>
      <c r="D198" s="78"/>
    </row>
    <row r="199">
      <c r="B199" s="78"/>
      <c r="C199" s="78"/>
      <c r="D199" s="78"/>
    </row>
    <row r="200">
      <c r="B200" s="78"/>
      <c r="C200" s="78"/>
      <c r="D200" s="78"/>
    </row>
    <row r="201">
      <c r="B201" s="78"/>
      <c r="C201" s="78"/>
      <c r="D201" s="78"/>
    </row>
    <row r="202">
      <c r="B202" s="78"/>
      <c r="C202" s="78"/>
      <c r="D202" s="78"/>
    </row>
    <row r="203">
      <c r="B203" s="78"/>
      <c r="C203" s="78"/>
      <c r="D203" s="78"/>
    </row>
    <row r="204">
      <c r="B204" s="78"/>
      <c r="C204" s="78"/>
      <c r="D204" s="78"/>
    </row>
    <row r="205">
      <c r="B205" s="78"/>
      <c r="C205" s="78"/>
      <c r="D205" s="78"/>
    </row>
    <row r="206">
      <c r="B206" s="78"/>
      <c r="C206" s="78"/>
      <c r="D206" s="78"/>
    </row>
    <row r="207">
      <c r="B207" s="78"/>
      <c r="C207" s="78"/>
      <c r="D207" s="78"/>
    </row>
    <row r="208">
      <c r="B208" s="78"/>
      <c r="C208" s="78"/>
      <c r="D208" s="78"/>
    </row>
    <row r="209">
      <c r="B209" s="78"/>
      <c r="C209" s="78"/>
      <c r="D209" s="78"/>
    </row>
    <row r="210">
      <c r="B210" s="78"/>
      <c r="C210" s="78"/>
      <c r="D210" s="78"/>
    </row>
    <row r="211">
      <c r="B211" s="78"/>
      <c r="C211" s="78"/>
      <c r="D211" s="78"/>
    </row>
    <row r="212">
      <c r="B212" s="78"/>
      <c r="C212" s="78"/>
      <c r="D212" s="78"/>
    </row>
    <row r="213">
      <c r="B213" s="78"/>
      <c r="C213" s="78"/>
      <c r="D213" s="78"/>
    </row>
    <row r="214">
      <c r="B214" s="78"/>
      <c r="C214" s="78"/>
      <c r="D214" s="78"/>
    </row>
    <row r="215">
      <c r="B215" s="78"/>
      <c r="C215" s="78"/>
      <c r="D215" s="78"/>
    </row>
    <row r="216">
      <c r="B216" s="78"/>
      <c r="C216" s="78"/>
      <c r="D216" s="78"/>
    </row>
    <row r="217">
      <c r="B217" s="78"/>
      <c r="C217" s="78"/>
      <c r="D217" s="78"/>
    </row>
    <row r="218">
      <c r="B218" s="78"/>
      <c r="C218" s="78"/>
      <c r="D218" s="78"/>
    </row>
    <row r="219">
      <c r="B219" s="78"/>
      <c r="C219" s="78"/>
      <c r="D219" s="78"/>
    </row>
    <row r="220">
      <c r="B220" s="78"/>
      <c r="C220" s="78"/>
      <c r="D220" s="78"/>
    </row>
    <row r="221">
      <c r="B221" s="78"/>
      <c r="C221" s="78"/>
      <c r="D221" s="78"/>
    </row>
    <row r="222">
      <c r="B222" s="78"/>
      <c r="C222" s="78"/>
      <c r="D222" s="78"/>
    </row>
    <row r="223">
      <c r="B223" s="78"/>
      <c r="C223" s="78"/>
      <c r="D223" s="78"/>
    </row>
    <row r="224">
      <c r="B224" s="78"/>
      <c r="C224" s="78"/>
      <c r="D224" s="78"/>
    </row>
    <row r="225">
      <c r="B225" s="78"/>
      <c r="C225" s="78"/>
      <c r="D225" s="78"/>
    </row>
    <row r="226">
      <c r="B226" s="78"/>
      <c r="C226" s="78"/>
      <c r="D226" s="78"/>
    </row>
    <row r="227">
      <c r="B227" s="78"/>
      <c r="C227" s="78"/>
      <c r="D227" s="78"/>
    </row>
    <row r="228">
      <c r="B228" s="78"/>
      <c r="C228" s="78"/>
      <c r="D228" s="78"/>
    </row>
    <row r="229">
      <c r="B229" s="78"/>
      <c r="C229" s="78"/>
      <c r="D229" s="78"/>
    </row>
    <row r="230">
      <c r="B230" s="78"/>
      <c r="C230" s="78"/>
      <c r="D230" s="78"/>
    </row>
    <row r="231">
      <c r="B231" s="78"/>
      <c r="C231" s="78"/>
      <c r="D231" s="78"/>
    </row>
    <row r="232">
      <c r="B232" s="78"/>
      <c r="C232" s="78"/>
      <c r="D232" s="78"/>
    </row>
    <row r="233">
      <c r="B233" s="78"/>
      <c r="C233" s="78"/>
      <c r="D233" s="78"/>
    </row>
    <row r="234">
      <c r="B234" s="78"/>
      <c r="C234" s="78"/>
      <c r="D234" s="78"/>
    </row>
    <row r="235">
      <c r="B235" s="78"/>
      <c r="C235" s="78"/>
      <c r="D235" s="78"/>
    </row>
    <row r="236">
      <c r="B236" s="78"/>
      <c r="C236" s="78"/>
      <c r="D236" s="78"/>
    </row>
    <row r="237">
      <c r="B237" s="78"/>
      <c r="C237" s="78"/>
      <c r="D237" s="78"/>
    </row>
    <row r="238">
      <c r="B238" s="78"/>
      <c r="C238" s="78"/>
      <c r="D238" s="78"/>
    </row>
    <row r="239">
      <c r="B239" s="78"/>
      <c r="C239" s="78"/>
      <c r="D239" s="78"/>
    </row>
    <row r="240">
      <c r="B240" s="78"/>
      <c r="C240" s="78"/>
      <c r="D240" s="78"/>
    </row>
    <row r="241">
      <c r="B241" s="78"/>
      <c r="C241" s="78"/>
      <c r="D241" s="78"/>
    </row>
    <row r="242">
      <c r="B242" s="78"/>
      <c r="C242" s="78"/>
      <c r="D242" s="78"/>
    </row>
    <row r="243">
      <c r="B243" s="78"/>
      <c r="C243" s="78"/>
      <c r="D243" s="78"/>
    </row>
    <row r="244">
      <c r="B244" s="78"/>
      <c r="C244" s="78"/>
      <c r="D244" s="78"/>
    </row>
    <row r="245">
      <c r="B245" s="78"/>
      <c r="C245" s="78"/>
      <c r="D245" s="78"/>
    </row>
    <row r="246">
      <c r="B246" s="78"/>
      <c r="C246" s="78"/>
      <c r="D246" s="78"/>
    </row>
    <row r="247">
      <c r="B247" s="78"/>
      <c r="C247" s="78"/>
      <c r="D247" s="78"/>
    </row>
    <row r="248">
      <c r="B248" s="78"/>
      <c r="C248" s="78"/>
      <c r="D248" s="78"/>
    </row>
    <row r="249">
      <c r="B249" s="78"/>
      <c r="C249" s="78"/>
      <c r="D249" s="78"/>
    </row>
    <row r="250">
      <c r="B250" s="78"/>
      <c r="C250" s="78"/>
      <c r="D250" s="78"/>
    </row>
    <row r="251">
      <c r="B251" s="78"/>
      <c r="C251" s="78"/>
      <c r="D251" s="78"/>
    </row>
    <row r="252">
      <c r="B252" s="78"/>
      <c r="C252" s="78"/>
      <c r="D252" s="78"/>
    </row>
    <row r="253">
      <c r="B253" s="78"/>
      <c r="C253" s="78"/>
      <c r="D253" s="78"/>
    </row>
    <row r="254">
      <c r="B254" s="78"/>
      <c r="C254" s="78"/>
      <c r="D254" s="78"/>
    </row>
    <row r="255">
      <c r="B255" s="78"/>
      <c r="C255" s="78"/>
      <c r="D255" s="78"/>
    </row>
    <row r="256">
      <c r="B256" s="78"/>
      <c r="C256" s="78"/>
      <c r="D256" s="78"/>
    </row>
    <row r="257">
      <c r="B257" s="78"/>
      <c r="C257" s="78"/>
      <c r="D257" s="78"/>
    </row>
    <row r="258">
      <c r="B258" s="78"/>
      <c r="C258" s="78"/>
      <c r="D258" s="78"/>
    </row>
    <row r="259">
      <c r="B259" s="78"/>
      <c r="C259" s="78"/>
      <c r="D259" s="78"/>
    </row>
    <row r="260">
      <c r="B260" s="78"/>
      <c r="C260" s="78"/>
      <c r="D260" s="78"/>
    </row>
    <row r="261">
      <c r="B261" s="78"/>
      <c r="C261" s="78"/>
      <c r="D261" s="78"/>
    </row>
    <row r="262">
      <c r="B262" s="78"/>
      <c r="C262" s="78"/>
      <c r="D262" s="78"/>
    </row>
    <row r="263">
      <c r="B263" s="78"/>
      <c r="C263" s="78"/>
      <c r="D263" s="78"/>
    </row>
    <row r="264">
      <c r="B264" s="78"/>
      <c r="C264" s="78"/>
      <c r="D264" s="78"/>
    </row>
    <row r="265">
      <c r="B265" s="78"/>
      <c r="C265" s="78"/>
      <c r="D265" s="78"/>
    </row>
    <row r="266">
      <c r="B266" s="78"/>
      <c r="C266" s="78"/>
      <c r="D266" s="78"/>
    </row>
    <row r="267">
      <c r="B267" s="78"/>
      <c r="C267" s="78"/>
      <c r="D267" s="78"/>
    </row>
    <row r="268">
      <c r="B268" s="78"/>
      <c r="C268" s="78"/>
      <c r="D268" s="78"/>
    </row>
    <row r="269">
      <c r="B269" s="78"/>
      <c r="C269" s="78"/>
      <c r="D269" s="78"/>
    </row>
    <row r="270">
      <c r="B270" s="78"/>
      <c r="C270" s="78"/>
      <c r="D270" s="78"/>
    </row>
    <row r="271">
      <c r="B271" s="78"/>
      <c r="C271" s="78"/>
      <c r="D271" s="78"/>
    </row>
    <row r="272">
      <c r="B272" s="78"/>
      <c r="C272" s="78"/>
      <c r="D272" s="78"/>
    </row>
    <row r="273">
      <c r="B273" s="78"/>
      <c r="C273" s="78"/>
      <c r="D273" s="78"/>
    </row>
    <row r="274">
      <c r="B274" s="78"/>
      <c r="C274" s="78"/>
      <c r="D274" s="78"/>
    </row>
    <row r="275">
      <c r="B275" s="78"/>
      <c r="C275" s="78"/>
      <c r="D275" s="78"/>
    </row>
    <row r="276">
      <c r="B276" s="78"/>
      <c r="C276" s="78"/>
      <c r="D276" s="78"/>
    </row>
    <row r="277">
      <c r="B277" s="78"/>
      <c r="C277" s="78"/>
      <c r="D277" s="78"/>
    </row>
    <row r="278">
      <c r="B278" s="78"/>
      <c r="C278" s="78"/>
      <c r="D278" s="78"/>
    </row>
    <row r="279">
      <c r="B279" s="78"/>
      <c r="C279" s="78"/>
      <c r="D279" s="78"/>
    </row>
    <row r="280">
      <c r="B280" s="78"/>
      <c r="C280" s="78"/>
      <c r="D280" s="78"/>
    </row>
    <row r="281">
      <c r="B281" s="78"/>
      <c r="C281" s="78"/>
      <c r="D281" s="78"/>
    </row>
    <row r="282">
      <c r="B282" s="78"/>
      <c r="C282" s="78"/>
      <c r="D282" s="78"/>
    </row>
    <row r="283">
      <c r="B283" s="78"/>
      <c r="C283" s="78"/>
      <c r="D283" s="78"/>
    </row>
    <row r="284">
      <c r="B284" s="78"/>
      <c r="C284" s="78"/>
      <c r="D284" s="78"/>
    </row>
    <row r="285">
      <c r="B285" s="78"/>
      <c r="C285" s="78"/>
      <c r="D285" s="78"/>
    </row>
    <row r="286">
      <c r="B286" s="78"/>
      <c r="C286" s="78"/>
      <c r="D286" s="78"/>
    </row>
    <row r="287">
      <c r="B287" s="78"/>
      <c r="C287" s="78"/>
      <c r="D287" s="78"/>
    </row>
    <row r="288">
      <c r="B288" s="78"/>
      <c r="C288" s="78"/>
      <c r="D288" s="78"/>
    </row>
    <row r="289">
      <c r="B289" s="78"/>
      <c r="C289" s="78"/>
      <c r="D289" s="78"/>
    </row>
    <row r="290">
      <c r="B290" s="78"/>
      <c r="C290" s="78"/>
      <c r="D290" s="78"/>
    </row>
    <row r="291">
      <c r="B291" s="78"/>
      <c r="C291" s="78"/>
      <c r="D291" s="78"/>
    </row>
    <row r="292">
      <c r="B292" s="78"/>
      <c r="C292" s="78"/>
      <c r="D292" s="78"/>
    </row>
    <row r="293">
      <c r="B293" s="78"/>
      <c r="C293" s="78"/>
      <c r="D293" s="78"/>
    </row>
    <row r="294">
      <c r="B294" s="78"/>
      <c r="C294" s="78"/>
      <c r="D294" s="78"/>
    </row>
    <row r="295">
      <c r="B295" s="78"/>
      <c r="C295" s="78"/>
      <c r="D295" s="78"/>
    </row>
    <row r="296">
      <c r="B296" s="78"/>
      <c r="C296" s="78"/>
      <c r="D296" s="78"/>
    </row>
    <row r="297">
      <c r="B297" s="78"/>
      <c r="C297" s="78"/>
      <c r="D297" s="78"/>
    </row>
    <row r="298">
      <c r="B298" s="78"/>
      <c r="C298" s="78"/>
      <c r="D298" s="78"/>
    </row>
    <row r="299">
      <c r="B299" s="78"/>
      <c r="C299" s="78"/>
      <c r="D299" s="78"/>
    </row>
    <row r="300">
      <c r="B300" s="78"/>
      <c r="C300" s="78"/>
      <c r="D300" s="78"/>
    </row>
    <row r="301">
      <c r="B301" s="78"/>
      <c r="C301" s="78"/>
      <c r="D301" s="78"/>
    </row>
    <row r="302">
      <c r="B302" s="78"/>
      <c r="C302" s="78"/>
      <c r="D302" s="78"/>
    </row>
    <row r="303">
      <c r="B303" s="78"/>
      <c r="C303" s="78"/>
      <c r="D303" s="78"/>
    </row>
    <row r="304">
      <c r="B304" s="78"/>
      <c r="C304" s="78"/>
      <c r="D304" s="78"/>
    </row>
    <row r="305">
      <c r="B305" s="78"/>
      <c r="C305" s="78"/>
      <c r="D305" s="78"/>
    </row>
    <row r="306">
      <c r="B306" s="78"/>
      <c r="C306" s="78"/>
      <c r="D306" s="78"/>
    </row>
    <row r="307">
      <c r="B307" s="78"/>
      <c r="C307" s="78"/>
      <c r="D307" s="78"/>
    </row>
    <row r="308">
      <c r="B308" s="78"/>
      <c r="C308" s="78"/>
      <c r="D308" s="78"/>
    </row>
    <row r="309">
      <c r="B309" s="78"/>
      <c r="C309" s="78"/>
      <c r="D309" s="78"/>
    </row>
    <row r="310">
      <c r="B310" s="78"/>
      <c r="C310" s="78"/>
      <c r="D310" s="78"/>
    </row>
    <row r="311">
      <c r="B311" s="78"/>
      <c r="C311" s="78"/>
      <c r="D311" s="78"/>
    </row>
    <row r="312">
      <c r="B312" s="78"/>
      <c r="C312" s="78"/>
      <c r="D312" s="78"/>
    </row>
    <row r="313">
      <c r="B313" s="78"/>
      <c r="C313" s="78"/>
      <c r="D313" s="78"/>
    </row>
    <row r="314">
      <c r="B314" s="78"/>
      <c r="C314" s="78"/>
      <c r="D314" s="78"/>
    </row>
    <row r="315">
      <c r="B315" s="78"/>
      <c r="C315" s="78"/>
      <c r="D315" s="78"/>
    </row>
    <row r="316">
      <c r="B316" s="78"/>
      <c r="C316" s="78"/>
      <c r="D316" s="78"/>
    </row>
    <row r="317">
      <c r="B317" s="78"/>
      <c r="C317" s="78"/>
      <c r="D317" s="78"/>
    </row>
    <row r="318">
      <c r="B318" s="78"/>
      <c r="C318" s="78"/>
      <c r="D318" s="78"/>
    </row>
    <row r="319">
      <c r="B319" s="78"/>
      <c r="C319" s="78"/>
      <c r="D319" s="78"/>
    </row>
    <row r="320">
      <c r="B320" s="78"/>
      <c r="C320" s="78"/>
      <c r="D320" s="78"/>
    </row>
    <row r="321">
      <c r="B321" s="78"/>
      <c r="C321" s="78"/>
      <c r="D321" s="78"/>
    </row>
    <row r="322">
      <c r="B322" s="78"/>
      <c r="C322" s="78"/>
      <c r="D322" s="78"/>
    </row>
    <row r="323">
      <c r="B323" s="78"/>
      <c r="C323" s="78"/>
      <c r="D323" s="78"/>
    </row>
    <row r="324">
      <c r="B324" s="78"/>
      <c r="C324" s="78"/>
      <c r="D324" s="78"/>
    </row>
    <row r="325">
      <c r="B325" s="78"/>
      <c r="C325" s="78"/>
      <c r="D325" s="78"/>
    </row>
    <row r="326">
      <c r="B326" s="78"/>
      <c r="C326" s="78"/>
      <c r="D326" s="78"/>
    </row>
    <row r="327">
      <c r="B327" s="78"/>
      <c r="C327" s="78"/>
      <c r="D327" s="78"/>
    </row>
    <row r="328">
      <c r="B328" s="78"/>
      <c r="C328" s="78"/>
      <c r="D328" s="78"/>
    </row>
    <row r="329">
      <c r="B329" s="78"/>
      <c r="C329" s="78"/>
      <c r="D329" s="78"/>
    </row>
    <row r="330">
      <c r="B330" s="78"/>
      <c r="C330" s="78"/>
      <c r="D330" s="78"/>
    </row>
    <row r="331">
      <c r="B331" s="78"/>
      <c r="C331" s="78"/>
      <c r="D331" s="78"/>
    </row>
    <row r="332">
      <c r="B332" s="78"/>
      <c r="C332" s="78"/>
      <c r="D332" s="78"/>
    </row>
    <row r="333">
      <c r="B333" s="78"/>
      <c r="C333" s="78"/>
      <c r="D333" s="78"/>
    </row>
    <row r="334">
      <c r="B334" s="78"/>
      <c r="C334" s="78"/>
      <c r="D334" s="78"/>
    </row>
    <row r="335">
      <c r="B335" s="78"/>
      <c r="C335" s="78"/>
      <c r="D335" s="78"/>
    </row>
    <row r="336">
      <c r="B336" s="78"/>
      <c r="C336" s="78"/>
      <c r="D336" s="78"/>
    </row>
    <row r="337">
      <c r="B337" s="78"/>
      <c r="C337" s="78"/>
      <c r="D337" s="78"/>
    </row>
    <row r="338">
      <c r="B338" s="78"/>
      <c r="C338" s="78"/>
      <c r="D338" s="78"/>
    </row>
    <row r="339">
      <c r="B339" s="78"/>
      <c r="C339" s="78"/>
      <c r="D339" s="78"/>
    </row>
    <row r="340">
      <c r="B340" s="78"/>
      <c r="C340" s="78"/>
      <c r="D340" s="78"/>
    </row>
    <row r="341">
      <c r="B341" s="78"/>
      <c r="C341" s="78"/>
      <c r="D341" s="78"/>
    </row>
    <row r="342">
      <c r="B342" s="78"/>
      <c r="C342" s="78"/>
      <c r="D342" s="78"/>
    </row>
    <row r="343">
      <c r="B343" s="78"/>
      <c r="C343" s="78"/>
      <c r="D343" s="78"/>
    </row>
    <row r="344">
      <c r="B344" s="78"/>
      <c r="C344" s="78"/>
      <c r="D344" s="78"/>
    </row>
    <row r="345">
      <c r="B345" s="78"/>
      <c r="C345" s="78"/>
      <c r="D345" s="78"/>
    </row>
    <row r="346">
      <c r="B346" s="78"/>
      <c r="C346" s="78"/>
      <c r="D346" s="78"/>
    </row>
    <row r="347">
      <c r="B347" s="78"/>
      <c r="C347" s="78"/>
      <c r="D347" s="78"/>
    </row>
    <row r="348">
      <c r="B348" s="78"/>
      <c r="C348" s="78"/>
      <c r="D348" s="78"/>
    </row>
    <row r="349">
      <c r="B349" s="78"/>
      <c r="C349" s="78"/>
      <c r="D349" s="78"/>
    </row>
    <row r="350">
      <c r="B350" s="78"/>
      <c r="C350" s="78"/>
      <c r="D350" s="78"/>
    </row>
    <row r="351">
      <c r="B351" s="78"/>
      <c r="C351" s="78"/>
      <c r="D351" s="78"/>
    </row>
    <row r="352">
      <c r="B352" s="78"/>
      <c r="C352" s="78"/>
      <c r="D352" s="78"/>
    </row>
    <row r="353">
      <c r="B353" s="78"/>
      <c r="C353" s="78"/>
      <c r="D353" s="78"/>
    </row>
    <row r="354">
      <c r="B354" s="78"/>
      <c r="C354" s="78"/>
      <c r="D354" s="78"/>
    </row>
    <row r="355">
      <c r="B355" s="78"/>
      <c r="C355" s="78"/>
      <c r="D355" s="78"/>
    </row>
    <row r="356">
      <c r="B356" s="78"/>
      <c r="C356" s="78"/>
      <c r="D356" s="78"/>
    </row>
    <row r="357">
      <c r="B357" s="78"/>
      <c r="C357" s="78"/>
      <c r="D357" s="78"/>
    </row>
    <row r="358">
      <c r="B358" s="78"/>
      <c r="C358" s="78"/>
      <c r="D358" s="78"/>
    </row>
    <row r="359">
      <c r="B359" s="78"/>
      <c r="C359" s="78"/>
      <c r="D359" s="78"/>
    </row>
    <row r="360">
      <c r="B360" s="78"/>
      <c r="C360" s="78"/>
      <c r="D360" s="78"/>
    </row>
    <row r="361">
      <c r="B361" s="78"/>
      <c r="C361" s="78"/>
      <c r="D361" s="78"/>
    </row>
    <row r="362">
      <c r="B362" s="78"/>
      <c r="C362" s="78"/>
      <c r="D362" s="78"/>
    </row>
    <row r="363">
      <c r="B363" s="78"/>
      <c r="C363" s="78"/>
      <c r="D363" s="78"/>
    </row>
    <row r="364">
      <c r="B364" s="78"/>
      <c r="C364" s="78"/>
      <c r="D364" s="78"/>
    </row>
    <row r="365">
      <c r="B365" s="78"/>
      <c r="C365" s="78"/>
      <c r="D365" s="78"/>
    </row>
    <row r="366">
      <c r="B366" s="78"/>
      <c r="C366" s="78"/>
      <c r="D366" s="78"/>
    </row>
    <row r="367">
      <c r="B367" s="78"/>
      <c r="C367" s="78"/>
      <c r="D367" s="78"/>
    </row>
    <row r="368">
      <c r="B368" s="78"/>
      <c r="C368" s="78"/>
      <c r="D368" s="78"/>
    </row>
    <row r="369">
      <c r="B369" s="78"/>
      <c r="C369" s="78"/>
      <c r="D369" s="78"/>
    </row>
    <row r="370">
      <c r="B370" s="78"/>
      <c r="C370" s="78"/>
      <c r="D370" s="78"/>
    </row>
    <row r="371">
      <c r="B371" s="78"/>
      <c r="C371" s="78"/>
      <c r="D371" s="78"/>
    </row>
    <row r="372">
      <c r="B372" s="78"/>
      <c r="C372" s="78"/>
      <c r="D372" s="78"/>
    </row>
    <row r="373">
      <c r="B373" s="78"/>
      <c r="C373" s="78"/>
      <c r="D373" s="78"/>
    </row>
    <row r="374">
      <c r="B374" s="78"/>
      <c r="C374" s="78"/>
      <c r="D374" s="78"/>
    </row>
    <row r="375">
      <c r="B375" s="78"/>
      <c r="C375" s="78"/>
      <c r="D375" s="78"/>
    </row>
    <row r="376">
      <c r="B376" s="78"/>
      <c r="C376" s="78"/>
      <c r="D376" s="78"/>
    </row>
    <row r="377">
      <c r="B377" s="78"/>
      <c r="C377" s="78"/>
      <c r="D377" s="78"/>
    </row>
    <row r="378">
      <c r="B378" s="78"/>
      <c r="C378" s="78"/>
      <c r="D378" s="78"/>
    </row>
    <row r="379">
      <c r="B379" s="78"/>
      <c r="C379" s="78"/>
      <c r="D379" s="78"/>
    </row>
    <row r="380">
      <c r="B380" s="78"/>
      <c r="C380" s="78"/>
      <c r="D380" s="78"/>
    </row>
    <row r="381">
      <c r="B381" s="78"/>
      <c r="C381" s="78"/>
      <c r="D381" s="78"/>
    </row>
    <row r="382">
      <c r="B382" s="78"/>
      <c r="C382" s="78"/>
      <c r="D382" s="78"/>
    </row>
    <row r="383">
      <c r="B383" s="78"/>
      <c r="C383" s="78"/>
      <c r="D383" s="78"/>
    </row>
    <row r="384">
      <c r="B384" s="78"/>
      <c r="C384" s="78"/>
      <c r="D384" s="78"/>
    </row>
    <row r="385">
      <c r="B385" s="78"/>
      <c r="C385" s="78"/>
      <c r="D385" s="78"/>
    </row>
    <row r="386">
      <c r="B386" s="78"/>
      <c r="C386" s="78"/>
      <c r="D386" s="78"/>
    </row>
    <row r="387">
      <c r="B387" s="78"/>
      <c r="C387" s="78"/>
      <c r="D387" s="78"/>
    </row>
    <row r="388">
      <c r="B388" s="78"/>
      <c r="C388" s="78"/>
      <c r="D388" s="78"/>
    </row>
    <row r="389">
      <c r="B389" s="78"/>
      <c r="C389" s="78"/>
      <c r="D389" s="78"/>
    </row>
    <row r="390">
      <c r="B390" s="78"/>
      <c r="C390" s="78"/>
      <c r="D390" s="78"/>
    </row>
    <row r="391">
      <c r="B391" s="78"/>
      <c r="C391" s="78"/>
      <c r="D391" s="78"/>
    </row>
    <row r="392">
      <c r="B392" s="78"/>
      <c r="C392" s="78"/>
      <c r="D392" s="78"/>
    </row>
    <row r="393">
      <c r="B393" s="78"/>
      <c r="C393" s="78"/>
      <c r="D393" s="78"/>
    </row>
    <row r="394">
      <c r="B394" s="78"/>
      <c r="C394" s="78"/>
      <c r="D394" s="78"/>
    </row>
    <row r="395">
      <c r="B395" s="78"/>
      <c r="C395" s="78"/>
      <c r="D395" s="78"/>
    </row>
    <row r="396">
      <c r="B396" s="78"/>
      <c r="C396" s="78"/>
      <c r="D396" s="78"/>
    </row>
    <row r="397">
      <c r="B397" s="78"/>
      <c r="C397" s="78"/>
      <c r="D397" s="78"/>
    </row>
    <row r="398">
      <c r="B398" s="78"/>
      <c r="C398" s="78"/>
      <c r="D398" s="78"/>
    </row>
    <row r="399">
      <c r="B399" s="78"/>
      <c r="C399" s="78"/>
      <c r="D399" s="78"/>
    </row>
    <row r="400">
      <c r="B400" s="78"/>
      <c r="C400" s="78"/>
      <c r="D400" s="78"/>
    </row>
    <row r="401">
      <c r="B401" s="78"/>
      <c r="C401" s="78"/>
      <c r="D401" s="78"/>
    </row>
    <row r="402">
      <c r="B402" s="78"/>
      <c r="C402" s="78"/>
      <c r="D402" s="78"/>
    </row>
    <row r="403">
      <c r="B403" s="78"/>
      <c r="C403" s="78"/>
      <c r="D403" s="78"/>
    </row>
    <row r="404">
      <c r="B404" s="78"/>
      <c r="C404" s="78"/>
      <c r="D404" s="78"/>
    </row>
    <row r="405">
      <c r="B405" s="78"/>
      <c r="C405" s="78"/>
      <c r="D405" s="78"/>
    </row>
    <row r="406">
      <c r="B406" s="78"/>
      <c r="C406" s="78"/>
      <c r="D406" s="78"/>
    </row>
    <row r="407">
      <c r="B407" s="78"/>
      <c r="C407" s="78"/>
      <c r="D407" s="78"/>
    </row>
    <row r="408">
      <c r="B408" s="78"/>
      <c r="C408" s="78"/>
      <c r="D408" s="78"/>
    </row>
    <row r="409">
      <c r="B409" s="78"/>
      <c r="C409" s="78"/>
      <c r="D409" s="78"/>
    </row>
    <row r="410">
      <c r="B410" s="78"/>
      <c r="C410" s="78"/>
      <c r="D410" s="78"/>
    </row>
    <row r="411">
      <c r="B411" s="78"/>
      <c r="C411" s="78"/>
      <c r="D411" s="78"/>
    </row>
    <row r="412">
      <c r="B412" s="78"/>
      <c r="C412" s="78"/>
      <c r="D412" s="78"/>
    </row>
    <row r="413">
      <c r="B413" s="78"/>
      <c r="C413" s="78"/>
      <c r="D413" s="78"/>
    </row>
    <row r="414">
      <c r="B414" s="78"/>
      <c r="C414" s="78"/>
      <c r="D414" s="78"/>
    </row>
    <row r="415">
      <c r="B415" s="78"/>
      <c r="C415" s="78"/>
      <c r="D415" s="78"/>
    </row>
    <row r="416">
      <c r="B416" s="78"/>
      <c r="C416" s="78"/>
      <c r="D416" s="78"/>
    </row>
    <row r="417">
      <c r="B417" s="78"/>
      <c r="C417" s="78"/>
      <c r="D417" s="78"/>
    </row>
    <row r="418">
      <c r="B418" s="78"/>
      <c r="C418" s="78"/>
      <c r="D418" s="78"/>
    </row>
    <row r="419">
      <c r="B419" s="78"/>
      <c r="C419" s="78"/>
      <c r="D419" s="78"/>
    </row>
    <row r="420">
      <c r="B420" s="78"/>
      <c r="C420" s="78"/>
      <c r="D420" s="78"/>
    </row>
    <row r="421">
      <c r="B421" s="78"/>
      <c r="C421" s="78"/>
      <c r="D421" s="78"/>
    </row>
    <row r="422">
      <c r="B422" s="78"/>
      <c r="C422" s="78"/>
      <c r="D422" s="78"/>
    </row>
    <row r="423">
      <c r="B423" s="78"/>
      <c r="C423" s="78"/>
      <c r="D423" s="78"/>
    </row>
    <row r="424">
      <c r="B424" s="78"/>
      <c r="C424" s="78"/>
      <c r="D424" s="78"/>
    </row>
    <row r="425">
      <c r="B425" s="78"/>
      <c r="C425" s="78"/>
      <c r="D425" s="78"/>
    </row>
    <row r="426">
      <c r="B426" s="78"/>
      <c r="C426" s="78"/>
      <c r="D426" s="78"/>
    </row>
    <row r="427">
      <c r="B427" s="78"/>
      <c r="C427" s="78"/>
      <c r="D427" s="78"/>
    </row>
    <row r="428">
      <c r="B428" s="78"/>
      <c r="C428" s="78"/>
      <c r="D428" s="78"/>
    </row>
    <row r="429">
      <c r="B429" s="78"/>
      <c r="C429" s="78"/>
      <c r="D429" s="78"/>
    </row>
    <row r="430">
      <c r="B430" s="78"/>
      <c r="C430" s="78"/>
      <c r="D430" s="78"/>
    </row>
    <row r="431">
      <c r="B431" s="78"/>
      <c r="C431" s="78"/>
      <c r="D431" s="78"/>
    </row>
    <row r="432">
      <c r="B432" s="78"/>
      <c r="C432" s="78"/>
      <c r="D432" s="78"/>
    </row>
    <row r="433">
      <c r="B433" s="78"/>
      <c r="C433" s="78"/>
      <c r="D433" s="78"/>
    </row>
    <row r="434">
      <c r="B434" s="78"/>
      <c r="C434" s="78"/>
      <c r="D434" s="78"/>
    </row>
    <row r="435">
      <c r="B435" s="78"/>
      <c r="C435" s="78"/>
      <c r="D435" s="78"/>
    </row>
    <row r="436">
      <c r="B436" s="78"/>
      <c r="C436" s="78"/>
      <c r="D436" s="78"/>
    </row>
    <row r="437">
      <c r="B437" s="78"/>
      <c r="C437" s="78"/>
      <c r="D437" s="78"/>
    </row>
    <row r="438">
      <c r="B438" s="78"/>
      <c r="C438" s="78"/>
      <c r="D438" s="78"/>
    </row>
    <row r="439">
      <c r="B439" s="78"/>
      <c r="C439" s="78"/>
      <c r="D439" s="78"/>
    </row>
    <row r="440">
      <c r="B440" s="78"/>
      <c r="C440" s="78"/>
      <c r="D440" s="78"/>
    </row>
    <row r="441">
      <c r="B441" s="78"/>
      <c r="C441" s="78"/>
      <c r="D441" s="78"/>
    </row>
    <row r="442">
      <c r="B442" s="78"/>
      <c r="C442" s="78"/>
      <c r="D442" s="78"/>
    </row>
    <row r="443">
      <c r="B443" s="78"/>
      <c r="C443" s="78"/>
      <c r="D443" s="78"/>
    </row>
    <row r="444">
      <c r="B444" s="78"/>
      <c r="C444" s="78"/>
      <c r="D444" s="78"/>
    </row>
    <row r="445">
      <c r="B445" s="78"/>
      <c r="C445" s="78"/>
      <c r="D445" s="78"/>
    </row>
    <row r="446">
      <c r="B446" s="78"/>
      <c r="C446" s="78"/>
      <c r="D446" s="78"/>
    </row>
    <row r="447">
      <c r="B447" s="78"/>
      <c r="C447" s="78"/>
      <c r="D447" s="78"/>
    </row>
    <row r="448">
      <c r="B448" s="78"/>
      <c r="C448" s="78"/>
      <c r="D448" s="78"/>
    </row>
    <row r="449">
      <c r="B449" s="78"/>
      <c r="C449" s="78"/>
      <c r="D449" s="78"/>
    </row>
    <row r="450">
      <c r="B450" s="78"/>
      <c r="C450" s="78"/>
      <c r="D450" s="78"/>
    </row>
    <row r="451">
      <c r="B451" s="78"/>
      <c r="C451" s="78"/>
      <c r="D451" s="78"/>
    </row>
    <row r="452">
      <c r="B452" s="78"/>
      <c r="C452" s="78"/>
      <c r="D452" s="78"/>
    </row>
    <row r="453">
      <c r="B453" s="78"/>
      <c r="C453" s="78"/>
      <c r="D453" s="78"/>
    </row>
    <row r="454">
      <c r="B454" s="78"/>
      <c r="C454" s="78"/>
      <c r="D454" s="78"/>
    </row>
    <row r="455">
      <c r="B455" s="78"/>
      <c r="C455" s="78"/>
      <c r="D455" s="78"/>
    </row>
    <row r="456">
      <c r="B456" s="78"/>
      <c r="C456" s="78"/>
      <c r="D456" s="78"/>
    </row>
    <row r="457">
      <c r="B457" s="78"/>
      <c r="C457" s="78"/>
      <c r="D457" s="78"/>
    </row>
    <row r="458">
      <c r="B458" s="78"/>
      <c r="C458" s="78"/>
      <c r="D458" s="78"/>
    </row>
    <row r="459">
      <c r="B459" s="78"/>
      <c r="C459" s="78"/>
      <c r="D459" s="78"/>
    </row>
    <row r="460">
      <c r="B460" s="78"/>
      <c r="C460" s="78"/>
      <c r="D460" s="78"/>
    </row>
    <row r="461">
      <c r="B461" s="78"/>
      <c r="C461" s="78"/>
      <c r="D461" s="78"/>
    </row>
    <row r="462">
      <c r="B462" s="78"/>
      <c r="C462" s="78"/>
      <c r="D462" s="78"/>
    </row>
    <row r="463">
      <c r="B463" s="78"/>
      <c r="C463" s="78"/>
      <c r="D463" s="78"/>
    </row>
    <row r="464">
      <c r="B464" s="78"/>
      <c r="C464" s="78"/>
      <c r="D464" s="78"/>
    </row>
    <row r="465">
      <c r="B465" s="78"/>
      <c r="C465" s="78"/>
      <c r="D465" s="78"/>
    </row>
    <row r="466">
      <c r="B466" s="78"/>
      <c r="C466" s="78"/>
      <c r="D466" s="78"/>
    </row>
    <row r="467">
      <c r="B467" s="78"/>
      <c r="C467" s="78"/>
      <c r="D467" s="78"/>
    </row>
    <row r="468">
      <c r="B468" s="78"/>
      <c r="C468" s="78"/>
      <c r="D468" s="78"/>
    </row>
    <row r="469">
      <c r="B469" s="78"/>
      <c r="C469" s="78"/>
      <c r="D469" s="78"/>
    </row>
    <row r="470">
      <c r="B470" s="78"/>
      <c r="C470" s="78"/>
      <c r="D470" s="78"/>
    </row>
    <row r="471">
      <c r="B471" s="78"/>
      <c r="C471" s="78"/>
      <c r="D471" s="78"/>
    </row>
    <row r="472">
      <c r="B472" s="78"/>
      <c r="C472" s="78"/>
      <c r="D472" s="78"/>
    </row>
    <row r="473">
      <c r="B473" s="78"/>
      <c r="C473" s="78"/>
      <c r="D473" s="78"/>
    </row>
    <row r="474">
      <c r="B474" s="78"/>
      <c r="C474" s="78"/>
      <c r="D474" s="78"/>
    </row>
    <row r="475">
      <c r="B475" s="78"/>
      <c r="C475" s="78"/>
      <c r="D475" s="78"/>
    </row>
    <row r="476">
      <c r="B476" s="78"/>
      <c r="C476" s="78"/>
      <c r="D476" s="78"/>
    </row>
    <row r="477">
      <c r="B477" s="78"/>
      <c r="C477" s="78"/>
      <c r="D477" s="78"/>
    </row>
    <row r="478">
      <c r="B478" s="78"/>
      <c r="C478" s="78"/>
      <c r="D478" s="78"/>
    </row>
    <row r="479">
      <c r="B479" s="78"/>
      <c r="C479" s="78"/>
      <c r="D479" s="78"/>
    </row>
    <row r="480">
      <c r="B480" s="78"/>
      <c r="C480" s="78"/>
      <c r="D480" s="78"/>
    </row>
    <row r="481">
      <c r="B481" s="78"/>
      <c r="C481" s="78"/>
      <c r="D481" s="78"/>
    </row>
    <row r="482">
      <c r="B482" s="78"/>
      <c r="C482" s="78"/>
      <c r="D482" s="78"/>
    </row>
    <row r="483">
      <c r="B483" s="78"/>
      <c r="C483" s="78"/>
      <c r="D483" s="78"/>
    </row>
    <row r="484">
      <c r="B484" s="78"/>
      <c r="C484" s="78"/>
      <c r="D484" s="78"/>
    </row>
    <row r="485">
      <c r="B485" s="78"/>
      <c r="C485" s="78"/>
      <c r="D485" s="78"/>
    </row>
    <row r="486">
      <c r="B486" s="78"/>
      <c r="C486" s="78"/>
      <c r="D486" s="78"/>
    </row>
    <row r="487">
      <c r="B487" s="78"/>
      <c r="C487" s="78"/>
      <c r="D487" s="78"/>
    </row>
    <row r="488">
      <c r="B488" s="78"/>
      <c r="C488" s="78"/>
      <c r="D488" s="78"/>
    </row>
    <row r="489">
      <c r="B489" s="78"/>
      <c r="C489" s="78"/>
      <c r="D489" s="78"/>
    </row>
    <row r="490">
      <c r="B490" s="78"/>
      <c r="C490" s="78"/>
      <c r="D490" s="78"/>
    </row>
    <row r="491">
      <c r="B491" s="78"/>
      <c r="C491" s="78"/>
      <c r="D491" s="78"/>
    </row>
    <row r="492">
      <c r="B492" s="78"/>
      <c r="C492" s="78"/>
      <c r="D492" s="78"/>
    </row>
    <row r="493">
      <c r="B493" s="78"/>
      <c r="C493" s="78"/>
      <c r="D493" s="78"/>
    </row>
    <row r="494">
      <c r="B494" s="78"/>
      <c r="C494" s="78"/>
      <c r="D494" s="78"/>
    </row>
    <row r="495">
      <c r="B495" s="78"/>
      <c r="C495" s="78"/>
      <c r="D495" s="78"/>
    </row>
    <row r="496">
      <c r="B496" s="78"/>
      <c r="C496" s="78"/>
      <c r="D496" s="78"/>
    </row>
    <row r="497">
      <c r="B497" s="78"/>
      <c r="C497" s="78"/>
      <c r="D497" s="78"/>
    </row>
    <row r="498">
      <c r="B498" s="78"/>
      <c r="C498" s="78"/>
      <c r="D498" s="78"/>
    </row>
    <row r="499">
      <c r="B499" s="78"/>
      <c r="C499" s="78"/>
      <c r="D499" s="78"/>
    </row>
    <row r="500">
      <c r="B500" s="78"/>
      <c r="C500" s="78"/>
      <c r="D500" s="78"/>
    </row>
    <row r="501">
      <c r="B501" s="78"/>
      <c r="C501" s="78"/>
      <c r="D501" s="78"/>
    </row>
    <row r="502">
      <c r="B502" s="78"/>
      <c r="C502" s="78"/>
      <c r="D502" s="78"/>
    </row>
    <row r="503">
      <c r="B503" s="78"/>
      <c r="C503" s="78"/>
      <c r="D503" s="78"/>
    </row>
    <row r="504">
      <c r="B504" s="78"/>
      <c r="C504" s="78"/>
      <c r="D504" s="78"/>
    </row>
    <row r="505">
      <c r="B505" s="78"/>
      <c r="C505" s="78"/>
      <c r="D505" s="78"/>
    </row>
    <row r="506">
      <c r="B506" s="78"/>
      <c r="C506" s="78"/>
      <c r="D506" s="78"/>
    </row>
    <row r="507">
      <c r="B507" s="78"/>
      <c r="C507" s="78"/>
      <c r="D507" s="78"/>
    </row>
    <row r="508">
      <c r="B508" s="78"/>
      <c r="C508" s="78"/>
      <c r="D508" s="78"/>
    </row>
    <row r="509">
      <c r="B509" s="78"/>
      <c r="C509" s="78"/>
      <c r="D509" s="78"/>
    </row>
    <row r="510">
      <c r="B510" s="78"/>
      <c r="C510" s="78"/>
      <c r="D510" s="78"/>
    </row>
    <row r="511">
      <c r="B511" s="78"/>
      <c r="C511" s="78"/>
      <c r="D511" s="78"/>
    </row>
    <row r="512">
      <c r="B512" s="78"/>
      <c r="C512" s="78"/>
      <c r="D512" s="78"/>
    </row>
    <row r="513">
      <c r="B513" s="78"/>
      <c r="C513" s="78"/>
      <c r="D513" s="78"/>
    </row>
    <row r="514">
      <c r="B514" s="78"/>
      <c r="C514" s="78"/>
      <c r="D514" s="78"/>
    </row>
    <row r="515">
      <c r="B515" s="78"/>
      <c r="C515" s="78"/>
      <c r="D515" s="78"/>
    </row>
    <row r="516">
      <c r="B516" s="78"/>
      <c r="C516" s="78"/>
      <c r="D516" s="78"/>
    </row>
    <row r="517">
      <c r="B517" s="78"/>
      <c r="C517" s="78"/>
      <c r="D517" s="78"/>
    </row>
    <row r="518">
      <c r="B518" s="78"/>
      <c r="C518" s="78"/>
      <c r="D518" s="78"/>
    </row>
    <row r="519">
      <c r="B519" s="78"/>
      <c r="C519" s="78"/>
      <c r="D519" s="78"/>
    </row>
    <row r="520">
      <c r="B520" s="78"/>
      <c r="C520" s="78"/>
      <c r="D520" s="78"/>
    </row>
    <row r="521">
      <c r="B521" s="78"/>
      <c r="C521" s="78"/>
      <c r="D521" s="78"/>
    </row>
    <row r="522">
      <c r="B522" s="78"/>
      <c r="C522" s="78"/>
      <c r="D522" s="78"/>
    </row>
    <row r="523">
      <c r="B523" s="78"/>
      <c r="C523" s="78"/>
      <c r="D523" s="78"/>
    </row>
    <row r="524">
      <c r="B524" s="78"/>
      <c r="C524" s="78"/>
      <c r="D524" s="78"/>
    </row>
    <row r="525">
      <c r="B525" s="78"/>
      <c r="C525" s="78"/>
      <c r="D525" s="78"/>
    </row>
    <row r="526">
      <c r="B526" s="78"/>
      <c r="C526" s="78"/>
      <c r="D526" s="78"/>
    </row>
    <row r="527">
      <c r="B527" s="78"/>
      <c r="C527" s="78"/>
      <c r="D527" s="78"/>
    </row>
    <row r="528">
      <c r="B528" s="78"/>
      <c r="C528" s="78"/>
      <c r="D528" s="78"/>
    </row>
    <row r="529">
      <c r="B529" s="78"/>
      <c r="C529" s="78"/>
      <c r="D529" s="78"/>
    </row>
    <row r="530">
      <c r="B530" s="78"/>
      <c r="C530" s="78"/>
      <c r="D530" s="78"/>
    </row>
    <row r="531">
      <c r="B531" s="78"/>
      <c r="C531" s="78"/>
      <c r="D531" s="78"/>
    </row>
    <row r="532">
      <c r="B532" s="78"/>
      <c r="C532" s="78"/>
      <c r="D532" s="78"/>
    </row>
    <row r="533">
      <c r="B533" s="78"/>
      <c r="C533" s="78"/>
      <c r="D533" s="78"/>
    </row>
    <row r="534">
      <c r="B534" s="78"/>
      <c r="C534" s="78"/>
      <c r="D534" s="78"/>
    </row>
    <row r="535">
      <c r="B535" s="78"/>
      <c r="C535" s="78"/>
      <c r="D535" s="78"/>
    </row>
    <row r="536">
      <c r="B536" s="78"/>
      <c r="C536" s="78"/>
      <c r="D536" s="78"/>
    </row>
    <row r="537">
      <c r="B537" s="78"/>
      <c r="C537" s="78"/>
      <c r="D537" s="78"/>
    </row>
    <row r="538">
      <c r="B538" s="78"/>
      <c r="C538" s="78"/>
      <c r="D538" s="78"/>
    </row>
    <row r="539">
      <c r="B539" s="78"/>
      <c r="C539" s="78"/>
      <c r="D539" s="78"/>
    </row>
    <row r="540">
      <c r="B540" s="78"/>
      <c r="C540" s="78"/>
      <c r="D540" s="78"/>
    </row>
    <row r="541">
      <c r="B541" s="78"/>
      <c r="C541" s="78"/>
      <c r="D541" s="78"/>
    </row>
    <row r="542">
      <c r="B542" s="78"/>
      <c r="C542" s="78"/>
      <c r="D542" s="78"/>
    </row>
    <row r="543">
      <c r="B543" s="78"/>
      <c r="C543" s="78"/>
      <c r="D543" s="78"/>
    </row>
    <row r="544">
      <c r="B544" s="78"/>
      <c r="C544" s="78"/>
      <c r="D544" s="78"/>
    </row>
    <row r="545">
      <c r="B545" s="78"/>
      <c r="C545" s="78"/>
      <c r="D545" s="78"/>
    </row>
    <row r="546">
      <c r="B546" s="78"/>
      <c r="C546" s="78"/>
      <c r="D546" s="78"/>
    </row>
    <row r="547">
      <c r="B547" s="78"/>
      <c r="C547" s="78"/>
      <c r="D547" s="78"/>
    </row>
    <row r="548">
      <c r="B548" s="78"/>
      <c r="C548" s="78"/>
      <c r="D548" s="78"/>
    </row>
    <row r="549">
      <c r="B549" s="78"/>
      <c r="C549" s="78"/>
      <c r="D549" s="78"/>
    </row>
    <row r="550">
      <c r="B550" s="78"/>
      <c r="C550" s="78"/>
      <c r="D550" s="78"/>
    </row>
    <row r="551">
      <c r="B551" s="78"/>
      <c r="C551" s="78"/>
      <c r="D551" s="78"/>
    </row>
    <row r="552">
      <c r="B552" s="78"/>
      <c r="C552" s="78"/>
      <c r="D552" s="78"/>
    </row>
    <row r="553">
      <c r="B553" s="78"/>
      <c r="C553" s="78"/>
      <c r="D553" s="78"/>
    </row>
    <row r="554">
      <c r="B554" s="78"/>
      <c r="C554" s="78"/>
      <c r="D554" s="78"/>
    </row>
    <row r="555">
      <c r="B555" s="78"/>
      <c r="C555" s="78"/>
      <c r="D555" s="78"/>
    </row>
    <row r="556">
      <c r="B556" s="78"/>
      <c r="C556" s="78"/>
      <c r="D556" s="78"/>
    </row>
    <row r="557">
      <c r="B557" s="78"/>
      <c r="C557" s="78"/>
      <c r="D557" s="78"/>
    </row>
    <row r="558">
      <c r="B558" s="78"/>
      <c r="C558" s="78"/>
      <c r="D558" s="78"/>
    </row>
    <row r="559">
      <c r="B559" s="78"/>
      <c r="C559" s="78"/>
      <c r="D559" s="78"/>
    </row>
    <row r="560">
      <c r="B560" s="78"/>
      <c r="C560" s="78"/>
      <c r="D560" s="78"/>
    </row>
    <row r="561">
      <c r="B561" s="78"/>
      <c r="C561" s="78"/>
      <c r="D561" s="78"/>
    </row>
    <row r="562">
      <c r="B562" s="78"/>
      <c r="C562" s="78"/>
      <c r="D562" s="78"/>
    </row>
    <row r="563">
      <c r="B563" s="78"/>
      <c r="C563" s="78"/>
      <c r="D563" s="78"/>
    </row>
    <row r="564">
      <c r="B564" s="78"/>
      <c r="C564" s="78"/>
      <c r="D564" s="78"/>
    </row>
    <row r="565">
      <c r="B565" s="78"/>
      <c r="C565" s="78"/>
      <c r="D565" s="78"/>
    </row>
    <row r="566">
      <c r="B566" s="78"/>
      <c r="C566" s="78"/>
      <c r="D566" s="78"/>
    </row>
    <row r="567">
      <c r="B567" s="78"/>
      <c r="C567" s="78"/>
      <c r="D567" s="78"/>
    </row>
    <row r="568">
      <c r="B568" s="78"/>
      <c r="C568" s="78"/>
      <c r="D568" s="78"/>
    </row>
    <row r="569">
      <c r="B569" s="78"/>
      <c r="C569" s="78"/>
      <c r="D569" s="78"/>
    </row>
    <row r="570">
      <c r="B570" s="78"/>
      <c r="C570" s="78"/>
      <c r="D570" s="78"/>
    </row>
    <row r="571">
      <c r="B571" s="78"/>
      <c r="C571" s="78"/>
      <c r="D571" s="78"/>
    </row>
    <row r="572">
      <c r="B572" s="78"/>
      <c r="C572" s="78"/>
      <c r="D572" s="78"/>
    </row>
    <row r="573">
      <c r="B573" s="78"/>
      <c r="C573" s="78"/>
      <c r="D573" s="78"/>
    </row>
    <row r="574">
      <c r="B574" s="78"/>
      <c r="C574" s="78"/>
      <c r="D574" s="78"/>
    </row>
    <row r="575">
      <c r="B575" s="78"/>
      <c r="C575" s="78"/>
      <c r="D575" s="78"/>
    </row>
    <row r="576">
      <c r="B576" s="78"/>
      <c r="C576" s="78"/>
      <c r="D576" s="78"/>
    </row>
    <row r="577">
      <c r="B577" s="78"/>
      <c r="C577" s="78"/>
      <c r="D577" s="78"/>
    </row>
    <row r="578">
      <c r="B578" s="78"/>
      <c r="C578" s="78"/>
      <c r="D578" s="78"/>
    </row>
    <row r="579">
      <c r="B579" s="78"/>
      <c r="C579" s="78"/>
      <c r="D579" s="78"/>
    </row>
    <row r="580">
      <c r="B580" s="78"/>
      <c r="C580" s="78"/>
      <c r="D580" s="78"/>
    </row>
    <row r="581">
      <c r="B581" s="78"/>
      <c r="C581" s="78"/>
      <c r="D581" s="78"/>
    </row>
    <row r="582">
      <c r="B582" s="78"/>
      <c r="C582" s="78"/>
      <c r="D582" s="78"/>
    </row>
    <row r="583">
      <c r="B583" s="78"/>
      <c r="C583" s="78"/>
      <c r="D583" s="78"/>
    </row>
    <row r="584">
      <c r="B584" s="78"/>
      <c r="C584" s="78"/>
      <c r="D584" s="78"/>
    </row>
    <row r="585">
      <c r="B585" s="78"/>
      <c r="C585" s="78"/>
      <c r="D585" s="78"/>
    </row>
    <row r="586">
      <c r="B586" s="78"/>
      <c r="C586" s="78"/>
      <c r="D586" s="78"/>
    </row>
    <row r="587">
      <c r="B587" s="78"/>
      <c r="C587" s="78"/>
      <c r="D587" s="78"/>
    </row>
    <row r="588">
      <c r="B588" s="78"/>
      <c r="C588" s="78"/>
      <c r="D588" s="78"/>
    </row>
    <row r="589">
      <c r="B589" s="78"/>
      <c r="C589" s="78"/>
      <c r="D589" s="78"/>
    </row>
    <row r="590">
      <c r="B590" s="78"/>
      <c r="C590" s="78"/>
      <c r="D590" s="78"/>
    </row>
    <row r="591">
      <c r="B591" s="78"/>
      <c r="C591" s="78"/>
      <c r="D591" s="78"/>
    </row>
    <row r="592">
      <c r="B592" s="78"/>
      <c r="C592" s="78"/>
      <c r="D592" s="78"/>
    </row>
    <row r="593">
      <c r="B593" s="78"/>
      <c r="C593" s="78"/>
      <c r="D593" s="78"/>
    </row>
    <row r="594">
      <c r="B594" s="78"/>
      <c r="C594" s="78"/>
      <c r="D594" s="78"/>
    </row>
    <row r="595">
      <c r="B595" s="78"/>
      <c r="C595" s="78"/>
      <c r="D595" s="78"/>
    </row>
    <row r="596">
      <c r="B596" s="78"/>
      <c r="C596" s="78"/>
      <c r="D596" s="78"/>
    </row>
    <row r="597">
      <c r="B597" s="78"/>
      <c r="C597" s="78"/>
      <c r="D597" s="78"/>
    </row>
    <row r="598">
      <c r="B598" s="78"/>
      <c r="C598" s="78"/>
      <c r="D598" s="78"/>
    </row>
    <row r="599">
      <c r="B599" s="78"/>
      <c r="C599" s="78"/>
      <c r="D599" s="78"/>
    </row>
    <row r="600">
      <c r="B600" s="78"/>
      <c r="C600" s="78"/>
      <c r="D600" s="78"/>
    </row>
    <row r="601">
      <c r="B601" s="78"/>
      <c r="C601" s="78"/>
      <c r="D601" s="78"/>
    </row>
    <row r="602">
      <c r="B602" s="78"/>
      <c r="C602" s="78"/>
      <c r="D602" s="78"/>
    </row>
    <row r="603">
      <c r="B603" s="78"/>
      <c r="C603" s="78"/>
      <c r="D603" s="78"/>
    </row>
    <row r="604">
      <c r="B604" s="78"/>
      <c r="C604" s="78"/>
      <c r="D604" s="78"/>
    </row>
    <row r="605">
      <c r="B605" s="78"/>
      <c r="C605" s="78"/>
      <c r="D605" s="78"/>
    </row>
    <row r="606">
      <c r="B606" s="78"/>
      <c r="C606" s="78"/>
      <c r="D606" s="78"/>
    </row>
    <row r="607">
      <c r="B607" s="78"/>
      <c r="C607" s="78"/>
      <c r="D607" s="78"/>
    </row>
    <row r="608">
      <c r="B608" s="78"/>
      <c r="C608" s="78"/>
      <c r="D608" s="78"/>
    </row>
    <row r="609">
      <c r="B609" s="78"/>
      <c r="C609" s="78"/>
      <c r="D609" s="78"/>
    </row>
    <row r="610">
      <c r="B610" s="78"/>
      <c r="C610" s="78"/>
      <c r="D610" s="78"/>
    </row>
    <row r="611">
      <c r="B611" s="78"/>
      <c r="C611" s="78"/>
      <c r="D611" s="78"/>
    </row>
    <row r="612">
      <c r="B612" s="78"/>
      <c r="C612" s="78"/>
      <c r="D612" s="78"/>
    </row>
    <row r="613">
      <c r="B613" s="78"/>
      <c r="C613" s="78"/>
      <c r="D613" s="78"/>
    </row>
    <row r="614">
      <c r="B614" s="78"/>
      <c r="C614" s="78"/>
      <c r="D614" s="78"/>
    </row>
    <row r="615">
      <c r="B615" s="78"/>
      <c r="C615" s="78"/>
      <c r="D615" s="78"/>
    </row>
    <row r="616">
      <c r="B616" s="78"/>
      <c r="C616" s="78"/>
      <c r="D616" s="78"/>
    </row>
    <row r="617">
      <c r="B617" s="78"/>
      <c r="C617" s="78"/>
      <c r="D617" s="78"/>
    </row>
    <row r="618">
      <c r="B618" s="78"/>
      <c r="C618" s="78"/>
      <c r="D618" s="78"/>
    </row>
    <row r="619">
      <c r="B619" s="78"/>
      <c r="C619" s="78"/>
      <c r="D619" s="78"/>
    </row>
    <row r="620">
      <c r="B620" s="78"/>
      <c r="C620" s="78"/>
      <c r="D620" s="78"/>
    </row>
    <row r="621">
      <c r="B621" s="78"/>
      <c r="C621" s="78"/>
      <c r="D621" s="78"/>
    </row>
    <row r="622">
      <c r="B622" s="78"/>
      <c r="C622" s="78"/>
      <c r="D622" s="78"/>
    </row>
    <row r="623">
      <c r="B623" s="78"/>
      <c r="C623" s="78"/>
      <c r="D623" s="78"/>
    </row>
    <row r="624">
      <c r="B624" s="78"/>
      <c r="C624" s="78"/>
      <c r="D624" s="78"/>
    </row>
    <row r="625">
      <c r="B625" s="78"/>
      <c r="C625" s="78"/>
      <c r="D625" s="78"/>
    </row>
    <row r="626">
      <c r="B626" s="78"/>
      <c r="C626" s="78"/>
      <c r="D626" s="78"/>
    </row>
    <row r="627">
      <c r="B627" s="78"/>
      <c r="C627" s="78"/>
      <c r="D627" s="78"/>
    </row>
    <row r="628">
      <c r="B628" s="78"/>
      <c r="C628" s="78"/>
      <c r="D628" s="78"/>
    </row>
    <row r="629">
      <c r="B629" s="78"/>
      <c r="C629" s="78"/>
      <c r="D629" s="78"/>
    </row>
    <row r="630">
      <c r="B630" s="78"/>
      <c r="C630" s="78"/>
      <c r="D630" s="78"/>
    </row>
    <row r="631">
      <c r="B631" s="78"/>
      <c r="C631" s="78"/>
      <c r="D631" s="78"/>
    </row>
    <row r="632">
      <c r="B632" s="78"/>
      <c r="C632" s="78"/>
      <c r="D632" s="78"/>
    </row>
    <row r="633">
      <c r="B633" s="78"/>
      <c r="C633" s="78"/>
      <c r="D633" s="78"/>
    </row>
    <row r="634">
      <c r="B634" s="78"/>
      <c r="C634" s="78"/>
      <c r="D634" s="78"/>
    </row>
    <row r="635">
      <c r="B635" s="78"/>
      <c r="C635" s="78"/>
      <c r="D635" s="78"/>
    </row>
    <row r="636">
      <c r="B636" s="78"/>
      <c r="C636" s="78"/>
      <c r="D636" s="78"/>
    </row>
    <row r="637">
      <c r="B637" s="78"/>
      <c r="C637" s="78"/>
      <c r="D637" s="78"/>
    </row>
    <row r="638">
      <c r="B638" s="78"/>
      <c r="C638" s="78"/>
      <c r="D638" s="78"/>
    </row>
    <row r="639">
      <c r="B639" s="78"/>
      <c r="C639" s="78"/>
      <c r="D639" s="78"/>
    </row>
    <row r="640">
      <c r="B640" s="78"/>
      <c r="C640" s="78"/>
      <c r="D640" s="78"/>
    </row>
    <row r="641">
      <c r="B641" s="78"/>
      <c r="C641" s="78"/>
      <c r="D641" s="78"/>
    </row>
    <row r="642">
      <c r="B642" s="78"/>
      <c r="C642" s="78"/>
      <c r="D642" s="78"/>
    </row>
    <row r="643">
      <c r="B643" s="78"/>
      <c r="C643" s="78"/>
      <c r="D643" s="78"/>
    </row>
    <row r="644">
      <c r="B644" s="78"/>
      <c r="C644" s="78"/>
      <c r="D644" s="78"/>
    </row>
    <row r="645">
      <c r="B645" s="78"/>
      <c r="C645" s="78"/>
      <c r="D645" s="78"/>
    </row>
    <row r="646">
      <c r="B646" s="78"/>
      <c r="C646" s="78"/>
      <c r="D646" s="78"/>
    </row>
    <row r="647">
      <c r="B647" s="78"/>
      <c r="C647" s="78"/>
      <c r="D647" s="78"/>
    </row>
    <row r="648">
      <c r="B648" s="78"/>
      <c r="C648" s="78"/>
      <c r="D648" s="78"/>
    </row>
    <row r="649">
      <c r="B649" s="78"/>
      <c r="C649" s="78"/>
      <c r="D649" s="78"/>
    </row>
    <row r="650">
      <c r="B650" s="78"/>
      <c r="C650" s="78"/>
      <c r="D650" s="78"/>
    </row>
    <row r="651">
      <c r="B651" s="78"/>
      <c r="C651" s="78"/>
      <c r="D651" s="78"/>
    </row>
    <row r="652">
      <c r="B652" s="78"/>
      <c r="C652" s="78"/>
      <c r="D652" s="78"/>
    </row>
    <row r="653">
      <c r="B653" s="78"/>
      <c r="C653" s="78"/>
      <c r="D653" s="78"/>
    </row>
    <row r="654">
      <c r="B654" s="78"/>
      <c r="C654" s="78"/>
      <c r="D654" s="78"/>
    </row>
    <row r="655">
      <c r="B655" s="78"/>
      <c r="C655" s="78"/>
      <c r="D655" s="78"/>
    </row>
    <row r="656">
      <c r="B656" s="78"/>
      <c r="C656" s="78"/>
      <c r="D656" s="78"/>
    </row>
    <row r="657">
      <c r="B657" s="78"/>
      <c r="C657" s="78"/>
      <c r="D657" s="78"/>
    </row>
    <row r="658">
      <c r="B658" s="78"/>
      <c r="C658" s="78"/>
      <c r="D658" s="78"/>
    </row>
    <row r="659">
      <c r="B659" s="78"/>
      <c r="C659" s="78"/>
      <c r="D659" s="78"/>
    </row>
    <row r="660">
      <c r="B660" s="78"/>
      <c r="C660" s="78"/>
      <c r="D660" s="78"/>
    </row>
    <row r="661">
      <c r="B661" s="78"/>
      <c r="C661" s="78"/>
      <c r="D661" s="78"/>
    </row>
    <row r="662">
      <c r="B662" s="78"/>
      <c r="C662" s="78"/>
      <c r="D662" s="78"/>
    </row>
    <row r="663">
      <c r="B663" s="78"/>
      <c r="C663" s="78"/>
      <c r="D663" s="78"/>
    </row>
    <row r="664">
      <c r="B664" s="78"/>
      <c r="C664" s="78"/>
      <c r="D664" s="78"/>
    </row>
    <row r="665">
      <c r="B665" s="78"/>
      <c r="C665" s="78"/>
      <c r="D665" s="78"/>
    </row>
    <row r="666">
      <c r="B666" s="78"/>
      <c r="C666" s="78"/>
      <c r="D666" s="78"/>
    </row>
    <row r="667">
      <c r="B667" s="78"/>
      <c r="C667" s="78"/>
      <c r="D667" s="78"/>
    </row>
    <row r="668">
      <c r="B668" s="78"/>
      <c r="C668" s="78"/>
      <c r="D668" s="78"/>
    </row>
    <row r="669">
      <c r="B669" s="78"/>
      <c r="C669" s="78"/>
      <c r="D669" s="78"/>
    </row>
    <row r="670">
      <c r="B670" s="78"/>
      <c r="C670" s="78"/>
      <c r="D670" s="78"/>
    </row>
    <row r="671">
      <c r="B671" s="78"/>
      <c r="C671" s="78"/>
      <c r="D671" s="78"/>
    </row>
    <row r="672">
      <c r="B672" s="78"/>
      <c r="C672" s="78"/>
      <c r="D672" s="78"/>
    </row>
    <row r="673">
      <c r="B673" s="78"/>
      <c r="C673" s="78"/>
      <c r="D673" s="78"/>
    </row>
    <row r="674">
      <c r="B674" s="78"/>
      <c r="C674" s="78"/>
      <c r="D674" s="78"/>
    </row>
    <row r="675">
      <c r="B675" s="78"/>
      <c r="C675" s="78"/>
      <c r="D675" s="78"/>
    </row>
    <row r="676">
      <c r="B676" s="78"/>
      <c r="C676" s="78"/>
      <c r="D676" s="78"/>
    </row>
    <row r="677">
      <c r="B677" s="78"/>
      <c r="C677" s="78"/>
      <c r="D677" s="78"/>
    </row>
    <row r="678">
      <c r="B678" s="78"/>
      <c r="C678" s="78"/>
      <c r="D678" s="78"/>
    </row>
    <row r="679">
      <c r="B679" s="78"/>
      <c r="C679" s="78"/>
      <c r="D679" s="78"/>
    </row>
    <row r="680">
      <c r="B680" s="78"/>
      <c r="C680" s="78"/>
      <c r="D680" s="78"/>
    </row>
    <row r="681">
      <c r="B681" s="78"/>
      <c r="C681" s="78"/>
      <c r="D681" s="78"/>
    </row>
    <row r="682">
      <c r="B682" s="78"/>
      <c r="C682" s="78"/>
      <c r="D682" s="78"/>
    </row>
    <row r="683">
      <c r="B683" s="78"/>
      <c r="C683" s="78"/>
      <c r="D683" s="78"/>
    </row>
    <row r="684">
      <c r="B684" s="78"/>
      <c r="C684" s="78"/>
      <c r="D684" s="78"/>
    </row>
    <row r="685">
      <c r="B685" s="78"/>
      <c r="C685" s="78"/>
      <c r="D685" s="78"/>
    </row>
    <row r="686">
      <c r="B686" s="78"/>
      <c r="C686" s="78"/>
      <c r="D686" s="78"/>
    </row>
    <row r="687">
      <c r="B687" s="78"/>
      <c r="C687" s="78"/>
      <c r="D687" s="78"/>
    </row>
    <row r="688">
      <c r="B688" s="78"/>
      <c r="C688" s="78"/>
      <c r="D688" s="78"/>
    </row>
    <row r="689">
      <c r="B689" s="78"/>
      <c r="C689" s="78"/>
      <c r="D689" s="78"/>
    </row>
    <row r="690">
      <c r="B690" s="78"/>
      <c r="C690" s="78"/>
      <c r="D690" s="78"/>
    </row>
    <row r="691">
      <c r="B691" s="78"/>
      <c r="C691" s="78"/>
      <c r="D691" s="78"/>
    </row>
    <row r="692">
      <c r="B692" s="78"/>
      <c r="C692" s="78"/>
      <c r="D692" s="78"/>
    </row>
    <row r="693">
      <c r="B693" s="78"/>
      <c r="C693" s="78"/>
      <c r="D693" s="78"/>
    </row>
    <row r="694">
      <c r="B694" s="78"/>
      <c r="C694" s="78"/>
      <c r="D694" s="78"/>
    </row>
    <row r="695">
      <c r="B695" s="78"/>
      <c r="C695" s="78"/>
      <c r="D695" s="78"/>
    </row>
    <row r="696">
      <c r="B696" s="78"/>
      <c r="C696" s="78"/>
      <c r="D696" s="78"/>
    </row>
    <row r="697">
      <c r="B697" s="78"/>
      <c r="C697" s="78"/>
      <c r="D697" s="78"/>
    </row>
    <row r="698">
      <c r="B698" s="78"/>
      <c r="C698" s="78"/>
      <c r="D698" s="78"/>
    </row>
    <row r="699">
      <c r="B699" s="78"/>
      <c r="C699" s="78"/>
      <c r="D699" s="78"/>
    </row>
    <row r="700">
      <c r="B700" s="78"/>
      <c r="C700" s="78"/>
      <c r="D700" s="78"/>
    </row>
    <row r="701">
      <c r="B701" s="78"/>
      <c r="C701" s="78"/>
      <c r="D701" s="78"/>
    </row>
    <row r="702">
      <c r="B702" s="78"/>
      <c r="C702" s="78"/>
      <c r="D702" s="78"/>
    </row>
    <row r="703">
      <c r="B703" s="78"/>
      <c r="C703" s="78"/>
      <c r="D703" s="78"/>
    </row>
    <row r="704">
      <c r="B704" s="78"/>
      <c r="C704" s="78"/>
      <c r="D704" s="78"/>
    </row>
    <row r="705">
      <c r="B705" s="78"/>
      <c r="C705" s="78"/>
      <c r="D705" s="78"/>
    </row>
    <row r="706">
      <c r="B706" s="78"/>
      <c r="C706" s="78"/>
      <c r="D706" s="78"/>
    </row>
    <row r="707">
      <c r="B707" s="78"/>
      <c r="C707" s="78"/>
      <c r="D707" s="78"/>
    </row>
    <row r="708">
      <c r="B708" s="78"/>
      <c r="C708" s="78"/>
      <c r="D708" s="78"/>
    </row>
    <row r="709">
      <c r="B709" s="78"/>
      <c r="C709" s="78"/>
      <c r="D709" s="78"/>
    </row>
    <row r="710">
      <c r="B710" s="78"/>
      <c r="C710" s="78"/>
      <c r="D710" s="78"/>
    </row>
    <row r="711">
      <c r="B711" s="78"/>
      <c r="C711" s="78"/>
      <c r="D711" s="78"/>
    </row>
    <row r="712">
      <c r="B712" s="78"/>
      <c r="C712" s="78"/>
      <c r="D712" s="78"/>
    </row>
    <row r="713">
      <c r="B713" s="78"/>
      <c r="C713" s="78"/>
      <c r="D713" s="78"/>
    </row>
    <row r="714">
      <c r="B714" s="78"/>
      <c r="C714" s="78"/>
      <c r="D714" s="78"/>
    </row>
    <row r="715">
      <c r="B715" s="78"/>
      <c r="C715" s="78"/>
      <c r="D715" s="78"/>
    </row>
    <row r="716">
      <c r="B716" s="78"/>
      <c r="C716" s="78"/>
      <c r="D716" s="78"/>
    </row>
    <row r="717">
      <c r="B717" s="78"/>
      <c r="C717" s="78"/>
      <c r="D717" s="78"/>
    </row>
    <row r="718">
      <c r="B718" s="78"/>
      <c r="C718" s="78"/>
      <c r="D718" s="78"/>
    </row>
    <row r="719">
      <c r="B719" s="78"/>
      <c r="C719" s="78"/>
      <c r="D719" s="78"/>
    </row>
    <row r="720">
      <c r="B720" s="78"/>
      <c r="C720" s="78"/>
      <c r="D720" s="78"/>
    </row>
    <row r="721">
      <c r="B721" s="78"/>
      <c r="C721" s="78"/>
      <c r="D721" s="78"/>
    </row>
    <row r="722">
      <c r="B722" s="78"/>
      <c r="C722" s="78"/>
      <c r="D722" s="78"/>
    </row>
    <row r="723">
      <c r="B723" s="78"/>
      <c r="C723" s="78"/>
      <c r="D723" s="78"/>
    </row>
    <row r="724">
      <c r="B724" s="78"/>
      <c r="C724" s="78"/>
      <c r="D724" s="78"/>
    </row>
    <row r="725">
      <c r="B725" s="78"/>
      <c r="C725" s="78"/>
      <c r="D725" s="78"/>
    </row>
    <row r="726">
      <c r="B726" s="78"/>
      <c r="C726" s="78"/>
      <c r="D726" s="78"/>
    </row>
    <row r="727">
      <c r="B727" s="78"/>
      <c r="C727" s="78"/>
      <c r="D727" s="78"/>
    </row>
    <row r="728">
      <c r="B728" s="78"/>
      <c r="C728" s="78"/>
      <c r="D728" s="78"/>
    </row>
    <row r="729">
      <c r="B729" s="78"/>
      <c r="C729" s="78"/>
      <c r="D729" s="78"/>
    </row>
    <row r="730">
      <c r="B730" s="78"/>
      <c r="C730" s="78"/>
      <c r="D730" s="78"/>
    </row>
    <row r="731">
      <c r="B731" s="78"/>
      <c r="C731" s="78"/>
      <c r="D731" s="78"/>
    </row>
    <row r="732">
      <c r="B732" s="78"/>
      <c r="C732" s="78"/>
      <c r="D732" s="78"/>
    </row>
    <row r="733">
      <c r="B733" s="78"/>
      <c r="C733" s="78"/>
      <c r="D733" s="78"/>
    </row>
    <row r="734">
      <c r="B734" s="78"/>
      <c r="C734" s="78"/>
      <c r="D734" s="78"/>
    </row>
    <row r="735">
      <c r="B735" s="78"/>
      <c r="C735" s="78"/>
      <c r="D735" s="78"/>
    </row>
    <row r="736">
      <c r="B736" s="78"/>
      <c r="C736" s="78"/>
      <c r="D736" s="78"/>
    </row>
    <row r="737">
      <c r="B737" s="78"/>
      <c r="C737" s="78"/>
      <c r="D737" s="78"/>
    </row>
    <row r="738">
      <c r="B738" s="78"/>
      <c r="C738" s="78"/>
      <c r="D738" s="78"/>
    </row>
    <row r="739">
      <c r="B739" s="78"/>
      <c r="C739" s="78"/>
      <c r="D739" s="78"/>
    </row>
    <row r="740">
      <c r="B740" s="78"/>
      <c r="C740" s="78"/>
      <c r="D740" s="78"/>
    </row>
    <row r="741">
      <c r="B741" s="78"/>
      <c r="C741" s="78"/>
      <c r="D741" s="78"/>
    </row>
    <row r="742">
      <c r="B742" s="78"/>
      <c r="C742" s="78"/>
      <c r="D742" s="78"/>
    </row>
    <row r="743">
      <c r="B743" s="78"/>
      <c r="C743" s="78"/>
      <c r="D743" s="78"/>
    </row>
    <row r="744">
      <c r="B744" s="78"/>
      <c r="C744" s="78"/>
      <c r="D744" s="78"/>
    </row>
    <row r="745">
      <c r="B745" s="78"/>
      <c r="C745" s="78"/>
      <c r="D745" s="78"/>
    </row>
    <row r="746">
      <c r="B746" s="78"/>
      <c r="C746" s="78"/>
      <c r="D746" s="78"/>
    </row>
    <row r="747">
      <c r="B747" s="78"/>
      <c r="C747" s="78"/>
      <c r="D747" s="78"/>
    </row>
    <row r="748">
      <c r="B748" s="78"/>
      <c r="C748" s="78"/>
      <c r="D748" s="78"/>
    </row>
    <row r="749">
      <c r="B749" s="78"/>
      <c r="C749" s="78"/>
      <c r="D749" s="78"/>
    </row>
    <row r="750">
      <c r="B750" s="78"/>
      <c r="C750" s="78"/>
      <c r="D750" s="78"/>
    </row>
    <row r="751">
      <c r="B751" s="78"/>
      <c r="C751" s="78"/>
      <c r="D751" s="78"/>
    </row>
    <row r="752">
      <c r="B752" s="78"/>
      <c r="C752" s="78"/>
      <c r="D752" s="78"/>
    </row>
    <row r="753">
      <c r="B753" s="78"/>
      <c r="C753" s="78"/>
      <c r="D753" s="78"/>
    </row>
    <row r="754">
      <c r="B754" s="78"/>
      <c r="C754" s="78"/>
      <c r="D754" s="78"/>
    </row>
    <row r="755">
      <c r="B755" s="78"/>
      <c r="C755" s="78"/>
      <c r="D755" s="78"/>
    </row>
    <row r="756">
      <c r="B756" s="78"/>
      <c r="C756" s="78"/>
      <c r="D756" s="78"/>
    </row>
    <row r="757">
      <c r="B757" s="78"/>
      <c r="C757" s="78"/>
      <c r="D757" s="78"/>
    </row>
    <row r="758">
      <c r="B758" s="78"/>
      <c r="C758" s="78"/>
      <c r="D758" s="78"/>
    </row>
    <row r="759">
      <c r="B759" s="78"/>
      <c r="C759" s="78"/>
      <c r="D759" s="78"/>
    </row>
    <row r="760">
      <c r="B760" s="78"/>
      <c r="C760" s="78"/>
      <c r="D760" s="78"/>
    </row>
    <row r="761">
      <c r="B761" s="78"/>
      <c r="C761" s="78"/>
      <c r="D761" s="78"/>
    </row>
    <row r="762">
      <c r="B762" s="78"/>
      <c r="C762" s="78"/>
      <c r="D762" s="78"/>
    </row>
    <row r="763">
      <c r="B763" s="78"/>
      <c r="C763" s="78"/>
      <c r="D763" s="78"/>
    </row>
    <row r="764">
      <c r="B764" s="78"/>
      <c r="C764" s="78"/>
      <c r="D764" s="78"/>
    </row>
    <row r="765">
      <c r="B765" s="78"/>
      <c r="C765" s="78"/>
      <c r="D765" s="78"/>
    </row>
    <row r="766">
      <c r="B766" s="78"/>
      <c r="C766" s="78"/>
      <c r="D766" s="78"/>
    </row>
    <row r="767">
      <c r="B767" s="78"/>
      <c r="C767" s="78"/>
      <c r="D767" s="78"/>
    </row>
    <row r="768">
      <c r="B768" s="78"/>
      <c r="C768" s="78"/>
      <c r="D768" s="78"/>
    </row>
    <row r="769">
      <c r="B769" s="78"/>
      <c r="C769" s="78"/>
      <c r="D769" s="78"/>
    </row>
    <row r="770">
      <c r="B770" s="78"/>
      <c r="C770" s="78"/>
      <c r="D770" s="78"/>
    </row>
    <row r="771">
      <c r="B771" s="78"/>
      <c r="C771" s="78"/>
      <c r="D771" s="78"/>
    </row>
    <row r="772">
      <c r="B772" s="78"/>
      <c r="C772" s="78"/>
      <c r="D772" s="78"/>
    </row>
    <row r="773">
      <c r="B773" s="78"/>
      <c r="C773" s="78"/>
      <c r="D773" s="78"/>
    </row>
    <row r="774">
      <c r="B774" s="78"/>
      <c r="C774" s="78"/>
      <c r="D774" s="78"/>
    </row>
    <row r="775">
      <c r="B775" s="78"/>
      <c r="C775" s="78"/>
      <c r="D775" s="78"/>
    </row>
    <row r="776">
      <c r="B776" s="78"/>
      <c r="C776" s="78"/>
      <c r="D776" s="78"/>
    </row>
    <row r="777">
      <c r="B777" s="78"/>
      <c r="C777" s="78"/>
      <c r="D777" s="78"/>
    </row>
    <row r="778">
      <c r="B778" s="78"/>
      <c r="C778" s="78"/>
      <c r="D778" s="78"/>
    </row>
    <row r="779">
      <c r="B779" s="78"/>
      <c r="C779" s="78"/>
      <c r="D779" s="78"/>
    </row>
    <row r="780">
      <c r="B780" s="78"/>
      <c r="C780" s="78"/>
      <c r="D780" s="78"/>
    </row>
    <row r="781">
      <c r="B781" s="78"/>
      <c r="C781" s="78"/>
      <c r="D781" s="78"/>
    </row>
    <row r="782">
      <c r="B782" s="78"/>
      <c r="C782" s="78"/>
      <c r="D782" s="78"/>
    </row>
    <row r="783">
      <c r="B783" s="78"/>
      <c r="C783" s="78"/>
      <c r="D783" s="78"/>
    </row>
    <row r="784">
      <c r="B784" s="78"/>
      <c r="C784" s="78"/>
      <c r="D784" s="78"/>
    </row>
    <row r="785">
      <c r="B785" s="78"/>
      <c r="C785" s="78"/>
      <c r="D785" s="78"/>
    </row>
    <row r="786">
      <c r="B786" s="78"/>
      <c r="C786" s="78"/>
      <c r="D786" s="78"/>
    </row>
    <row r="787">
      <c r="B787" s="78"/>
      <c r="C787" s="78"/>
      <c r="D787" s="78"/>
    </row>
    <row r="788">
      <c r="B788" s="78"/>
      <c r="C788" s="78"/>
      <c r="D788" s="78"/>
    </row>
    <row r="789">
      <c r="B789" s="78"/>
      <c r="C789" s="78"/>
      <c r="D789" s="78"/>
    </row>
    <row r="790">
      <c r="B790" s="78"/>
      <c r="C790" s="78"/>
      <c r="D790" s="78"/>
    </row>
    <row r="791">
      <c r="B791" s="78"/>
      <c r="C791" s="78"/>
      <c r="D791" s="78"/>
    </row>
    <row r="792">
      <c r="B792" s="78"/>
      <c r="C792" s="78"/>
      <c r="D792" s="78"/>
    </row>
    <row r="793">
      <c r="B793" s="78"/>
      <c r="C793" s="78"/>
      <c r="D793" s="78"/>
    </row>
    <row r="794">
      <c r="B794" s="78"/>
      <c r="C794" s="78"/>
      <c r="D794" s="78"/>
    </row>
    <row r="795">
      <c r="B795" s="78"/>
      <c r="C795" s="78"/>
      <c r="D795" s="78"/>
    </row>
    <row r="796">
      <c r="B796" s="78"/>
      <c r="C796" s="78"/>
      <c r="D796" s="78"/>
    </row>
    <row r="797">
      <c r="B797" s="78"/>
      <c r="C797" s="78"/>
      <c r="D797" s="78"/>
    </row>
    <row r="798">
      <c r="B798" s="78"/>
      <c r="C798" s="78"/>
      <c r="D798" s="78"/>
    </row>
    <row r="799">
      <c r="B799" s="78"/>
      <c r="C799" s="78"/>
      <c r="D799" s="78"/>
    </row>
    <row r="800">
      <c r="B800" s="78"/>
      <c r="C800" s="78"/>
      <c r="D800" s="78"/>
    </row>
    <row r="801">
      <c r="B801" s="78"/>
      <c r="C801" s="78"/>
      <c r="D801" s="78"/>
    </row>
    <row r="802">
      <c r="B802" s="78"/>
      <c r="C802" s="78"/>
      <c r="D802" s="78"/>
    </row>
    <row r="803">
      <c r="B803" s="78"/>
      <c r="C803" s="78"/>
      <c r="D803" s="78"/>
    </row>
    <row r="804">
      <c r="B804" s="78"/>
      <c r="C804" s="78"/>
      <c r="D804" s="78"/>
    </row>
    <row r="805">
      <c r="B805" s="78"/>
      <c r="C805" s="78"/>
      <c r="D805" s="78"/>
    </row>
    <row r="806">
      <c r="B806" s="78"/>
      <c r="C806" s="78"/>
      <c r="D806" s="78"/>
    </row>
    <row r="807">
      <c r="B807" s="78"/>
      <c r="C807" s="78"/>
      <c r="D807" s="78"/>
    </row>
    <row r="808">
      <c r="B808" s="78"/>
      <c r="C808" s="78"/>
      <c r="D808" s="78"/>
    </row>
    <row r="809">
      <c r="B809" s="78"/>
      <c r="C809" s="78"/>
      <c r="D809" s="78"/>
    </row>
    <row r="810">
      <c r="B810" s="78"/>
      <c r="C810" s="78"/>
      <c r="D810" s="78"/>
    </row>
    <row r="811">
      <c r="B811" s="78"/>
      <c r="C811" s="78"/>
      <c r="D811" s="78"/>
    </row>
    <row r="812">
      <c r="B812" s="78"/>
      <c r="C812" s="78"/>
      <c r="D812" s="78"/>
    </row>
    <row r="813">
      <c r="B813" s="78"/>
      <c r="C813" s="78"/>
      <c r="D813" s="78"/>
    </row>
    <row r="814">
      <c r="B814" s="78"/>
      <c r="C814" s="78"/>
      <c r="D814" s="78"/>
    </row>
    <row r="815">
      <c r="B815" s="78"/>
      <c r="C815" s="78"/>
      <c r="D815" s="78"/>
    </row>
    <row r="816">
      <c r="B816" s="78"/>
      <c r="C816" s="78"/>
      <c r="D816" s="78"/>
    </row>
    <row r="817">
      <c r="B817" s="78"/>
      <c r="C817" s="78"/>
      <c r="D817" s="78"/>
    </row>
    <row r="818">
      <c r="B818" s="78"/>
      <c r="C818" s="78"/>
      <c r="D818" s="78"/>
    </row>
    <row r="819">
      <c r="B819" s="78"/>
      <c r="C819" s="78"/>
      <c r="D819" s="78"/>
    </row>
    <row r="820">
      <c r="B820" s="78"/>
      <c r="C820" s="78"/>
      <c r="D820" s="78"/>
    </row>
    <row r="821">
      <c r="B821" s="78"/>
      <c r="C821" s="78"/>
      <c r="D821" s="78"/>
    </row>
    <row r="822">
      <c r="B822" s="78"/>
      <c r="C822" s="78"/>
      <c r="D822" s="78"/>
    </row>
    <row r="823">
      <c r="B823" s="78"/>
      <c r="C823" s="78"/>
      <c r="D823" s="78"/>
    </row>
    <row r="824">
      <c r="B824" s="78"/>
      <c r="C824" s="78"/>
      <c r="D824" s="78"/>
    </row>
    <row r="825">
      <c r="B825" s="78"/>
      <c r="C825" s="78"/>
      <c r="D825" s="78"/>
    </row>
    <row r="826">
      <c r="B826" s="78"/>
      <c r="C826" s="78"/>
      <c r="D826" s="78"/>
    </row>
    <row r="827">
      <c r="B827" s="78"/>
      <c r="C827" s="78"/>
      <c r="D827" s="78"/>
    </row>
    <row r="828">
      <c r="B828" s="78"/>
      <c r="C828" s="78"/>
      <c r="D828" s="78"/>
    </row>
    <row r="829">
      <c r="B829" s="78"/>
      <c r="C829" s="78"/>
      <c r="D829" s="78"/>
    </row>
    <row r="830">
      <c r="B830" s="78"/>
      <c r="C830" s="78"/>
      <c r="D830" s="78"/>
    </row>
    <row r="831">
      <c r="B831" s="78"/>
      <c r="C831" s="78"/>
      <c r="D831" s="78"/>
    </row>
    <row r="832">
      <c r="B832" s="78"/>
      <c r="C832" s="78"/>
      <c r="D832" s="78"/>
    </row>
    <row r="833">
      <c r="B833" s="78"/>
      <c r="C833" s="78"/>
      <c r="D833" s="78"/>
    </row>
    <row r="834">
      <c r="B834" s="78"/>
      <c r="C834" s="78"/>
      <c r="D834" s="78"/>
    </row>
    <row r="835">
      <c r="B835" s="78"/>
      <c r="C835" s="78"/>
      <c r="D835" s="78"/>
    </row>
    <row r="836">
      <c r="B836" s="78"/>
      <c r="C836" s="78"/>
      <c r="D836" s="78"/>
    </row>
    <row r="837">
      <c r="B837" s="78"/>
      <c r="C837" s="78"/>
      <c r="D837" s="78"/>
    </row>
    <row r="838">
      <c r="B838" s="78"/>
      <c r="C838" s="78"/>
      <c r="D838" s="78"/>
    </row>
    <row r="839">
      <c r="B839" s="78"/>
      <c r="C839" s="78"/>
      <c r="D839" s="78"/>
    </row>
    <row r="840">
      <c r="B840" s="78"/>
      <c r="C840" s="78"/>
      <c r="D840" s="78"/>
    </row>
    <row r="841">
      <c r="B841" s="78"/>
      <c r="C841" s="78"/>
      <c r="D841" s="78"/>
    </row>
    <row r="842">
      <c r="B842" s="78"/>
      <c r="C842" s="78"/>
      <c r="D842" s="78"/>
    </row>
    <row r="843">
      <c r="B843" s="78"/>
      <c r="C843" s="78"/>
      <c r="D843" s="78"/>
    </row>
    <row r="844">
      <c r="B844" s="78"/>
      <c r="C844" s="78"/>
      <c r="D844" s="78"/>
    </row>
    <row r="845">
      <c r="B845" s="78"/>
      <c r="C845" s="78"/>
      <c r="D845" s="78"/>
    </row>
    <row r="846">
      <c r="B846" s="78"/>
      <c r="C846" s="78"/>
      <c r="D846" s="78"/>
    </row>
    <row r="847">
      <c r="B847" s="78"/>
      <c r="C847" s="78"/>
      <c r="D847" s="78"/>
    </row>
    <row r="848">
      <c r="B848" s="78"/>
      <c r="C848" s="78"/>
      <c r="D848" s="78"/>
    </row>
    <row r="849">
      <c r="B849" s="78"/>
      <c r="C849" s="78"/>
      <c r="D849" s="78"/>
    </row>
    <row r="850">
      <c r="B850" s="78"/>
      <c r="C850" s="78"/>
      <c r="D850" s="78"/>
    </row>
    <row r="851">
      <c r="B851" s="78"/>
      <c r="C851" s="78"/>
      <c r="D851" s="78"/>
    </row>
    <row r="852">
      <c r="B852" s="78"/>
      <c r="C852" s="78"/>
      <c r="D852" s="78"/>
    </row>
    <row r="853">
      <c r="B853" s="78"/>
      <c r="C853" s="78"/>
      <c r="D853" s="78"/>
    </row>
    <row r="854">
      <c r="B854" s="78"/>
      <c r="C854" s="78"/>
      <c r="D854" s="78"/>
    </row>
    <row r="855">
      <c r="B855" s="78"/>
      <c r="C855" s="78"/>
      <c r="D855" s="78"/>
    </row>
    <row r="856">
      <c r="B856" s="78"/>
      <c r="C856" s="78"/>
      <c r="D856" s="78"/>
    </row>
    <row r="857">
      <c r="B857" s="78"/>
      <c r="C857" s="78"/>
      <c r="D857" s="78"/>
    </row>
    <row r="858">
      <c r="B858" s="78"/>
      <c r="C858" s="78"/>
      <c r="D858" s="78"/>
    </row>
    <row r="859">
      <c r="B859" s="78"/>
      <c r="C859" s="78"/>
      <c r="D859" s="78"/>
    </row>
    <row r="860">
      <c r="B860" s="78"/>
      <c r="C860" s="78"/>
      <c r="D860" s="78"/>
    </row>
    <row r="861">
      <c r="B861" s="78"/>
      <c r="C861" s="78"/>
      <c r="D861" s="78"/>
    </row>
    <row r="862">
      <c r="B862" s="78"/>
      <c r="C862" s="78"/>
      <c r="D862" s="78"/>
    </row>
    <row r="863">
      <c r="B863" s="78"/>
      <c r="C863" s="78"/>
      <c r="D863" s="78"/>
    </row>
    <row r="864">
      <c r="B864" s="78"/>
      <c r="C864" s="78"/>
      <c r="D864" s="78"/>
    </row>
    <row r="865">
      <c r="B865" s="78"/>
      <c r="C865" s="78"/>
      <c r="D865" s="78"/>
    </row>
    <row r="866">
      <c r="B866" s="78"/>
      <c r="C866" s="78"/>
      <c r="D866" s="78"/>
    </row>
    <row r="867">
      <c r="B867" s="78"/>
      <c r="C867" s="78"/>
      <c r="D867" s="78"/>
    </row>
    <row r="868">
      <c r="B868" s="78"/>
      <c r="C868" s="78"/>
      <c r="D868" s="78"/>
    </row>
    <row r="869">
      <c r="B869" s="78"/>
      <c r="C869" s="78"/>
      <c r="D869" s="78"/>
    </row>
    <row r="870">
      <c r="B870" s="78"/>
      <c r="C870" s="78"/>
      <c r="D870" s="78"/>
    </row>
    <row r="871">
      <c r="B871" s="78"/>
      <c r="C871" s="78"/>
      <c r="D871" s="78"/>
    </row>
    <row r="872">
      <c r="B872" s="78"/>
      <c r="C872" s="78"/>
      <c r="D872" s="78"/>
    </row>
    <row r="873">
      <c r="B873" s="78"/>
      <c r="C873" s="78"/>
      <c r="D873" s="78"/>
    </row>
    <row r="874">
      <c r="B874" s="78"/>
      <c r="C874" s="78"/>
      <c r="D874" s="78"/>
    </row>
    <row r="875">
      <c r="B875" s="78"/>
      <c r="C875" s="78"/>
      <c r="D875" s="78"/>
    </row>
    <row r="876">
      <c r="B876" s="78"/>
      <c r="C876" s="78"/>
      <c r="D876" s="78"/>
    </row>
    <row r="877">
      <c r="B877" s="78"/>
      <c r="C877" s="78"/>
      <c r="D877" s="78"/>
    </row>
    <row r="878">
      <c r="B878" s="78"/>
      <c r="C878" s="78"/>
      <c r="D878" s="78"/>
    </row>
    <row r="879">
      <c r="B879" s="78"/>
      <c r="C879" s="78"/>
      <c r="D879" s="78"/>
    </row>
    <row r="880">
      <c r="B880" s="78"/>
      <c r="C880" s="78"/>
      <c r="D880" s="78"/>
    </row>
    <row r="881">
      <c r="B881" s="78"/>
      <c r="C881" s="78"/>
      <c r="D881" s="78"/>
    </row>
    <row r="882">
      <c r="B882" s="78"/>
      <c r="C882" s="78"/>
      <c r="D882" s="78"/>
    </row>
    <row r="883">
      <c r="B883" s="78"/>
      <c r="C883" s="78"/>
      <c r="D883" s="78"/>
    </row>
    <row r="884">
      <c r="B884" s="78"/>
      <c r="C884" s="78"/>
      <c r="D884" s="78"/>
    </row>
    <row r="885">
      <c r="B885" s="78"/>
      <c r="C885" s="78"/>
      <c r="D885" s="78"/>
    </row>
    <row r="886">
      <c r="B886" s="78"/>
      <c r="C886" s="78"/>
      <c r="D886" s="78"/>
    </row>
    <row r="887">
      <c r="B887" s="78"/>
      <c r="C887" s="78"/>
      <c r="D887" s="78"/>
    </row>
    <row r="888">
      <c r="B888" s="78"/>
      <c r="C888" s="78"/>
      <c r="D888" s="78"/>
    </row>
    <row r="889">
      <c r="B889" s="78"/>
      <c r="C889" s="78"/>
      <c r="D889" s="78"/>
    </row>
    <row r="890">
      <c r="B890" s="78"/>
      <c r="C890" s="78"/>
      <c r="D890" s="78"/>
    </row>
    <row r="891">
      <c r="B891" s="78"/>
      <c r="C891" s="78"/>
      <c r="D891" s="78"/>
    </row>
    <row r="892">
      <c r="B892" s="78"/>
      <c r="C892" s="78"/>
      <c r="D892" s="78"/>
    </row>
    <row r="893">
      <c r="B893" s="78"/>
      <c r="C893" s="78"/>
      <c r="D893" s="78"/>
    </row>
    <row r="894">
      <c r="B894" s="78"/>
      <c r="C894" s="78"/>
      <c r="D894" s="78"/>
    </row>
    <row r="895">
      <c r="B895" s="78"/>
      <c r="C895" s="78"/>
      <c r="D895" s="78"/>
    </row>
    <row r="896">
      <c r="B896" s="78"/>
      <c r="C896" s="78"/>
      <c r="D896" s="78"/>
    </row>
    <row r="897">
      <c r="B897" s="78"/>
      <c r="C897" s="78"/>
      <c r="D897" s="78"/>
    </row>
    <row r="898">
      <c r="B898" s="78"/>
      <c r="C898" s="78"/>
      <c r="D898" s="78"/>
    </row>
    <row r="899">
      <c r="B899" s="78"/>
      <c r="C899" s="78"/>
      <c r="D899" s="78"/>
    </row>
    <row r="900">
      <c r="B900" s="78"/>
      <c r="C900" s="78"/>
      <c r="D900" s="78"/>
    </row>
    <row r="901">
      <c r="B901" s="78"/>
      <c r="C901" s="78"/>
      <c r="D901" s="78"/>
    </row>
    <row r="902">
      <c r="B902" s="78"/>
      <c r="C902" s="78"/>
      <c r="D902" s="78"/>
    </row>
    <row r="903">
      <c r="B903" s="78"/>
      <c r="C903" s="78"/>
      <c r="D903" s="78"/>
    </row>
    <row r="904">
      <c r="B904" s="78"/>
      <c r="C904" s="78"/>
      <c r="D904" s="78"/>
    </row>
    <row r="905">
      <c r="B905" s="78"/>
      <c r="C905" s="78"/>
      <c r="D905" s="78"/>
    </row>
    <row r="906">
      <c r="B906" s="78"/>
      <c r="C906" s="78"/>
      <c r="D906" s="78"/>
    </row>
    <row r="907">
      <c r="B907" s="78"/>
      <c r="C907" s="78"/>
      <c r="D907" s="78"/>
    </row>
    <row r="908">
      <c r="B908" s="78"/>
      <c r="C908" s="78"/>
      <c r="D908" s="78"/>
    </row>
    <row r="909">
      <c r="B909" s="78"/>
      <c r="C909" s="78"/>
      <c r="D909" s="78"/>
    </row>
    <row r="910">
      <c r="B910" s="78"/>
      <c r="C910" s="78"/>
      <c r="D910" s="78"/>
    </row>
    <row r="911">
      <c r="B911" s="78"/>
      <c r="C911" s="78"/>
      <c r="D911" s="78"/>
    </row>
    <row r="912">
      <c r="B912" s="78"/>
      <c r="C912" s="78"/>
      <c r="D912" s="78"/>
    </row>
    <row r="913">
      <c r="B913" s="78"/>
      <c r="C913" s="78"/>
      <c r="D913" s="78"/>
    </row>
    <row r="914">
      <c r="B914" s="78"/>
      <c r="C914" s="78"/>
      <c r="D914" s="78"/>
    </row>
    <row r="915">
      <c r="B915" s="78"/>
      <c r="C915" s="78"/>
      <c r="D915" s="78"/>
    </row>
    <row r="916">
      <c r="B916" s="78"/>
      <c r="C916" s="78"/>
      <c r="D916" s="78"/>
    </row>
    <row r="917">
      <c r="B917" s="78"/>
      <c r="C917" s="78"/>
      <c r="D917" s="78"/>
    </row>
    <row r="918">
      <c r="B918" s="78"/>
      <c r="C918" s="78"/>
      <c r="D918" s="78"/>
    </row>
    <row r="919">
      <c r="B919" s="78"/>
      <c r="C919" s="78"/>
      <c r="D919" s="78"/>
    </row>
    <row r="920">
      <c r="B920" s="78"/>
      <c r="C920" s="78"/>
      <c r="D920" s="78"/>
    </row>
    <row r="921">
      <c r="B921" s="78"/>
      <c r="C921" s="78"/>
      <c r="D921" s="78"/>
    </row>
    <row r="922">
      <c r="B922" s="78"/>
      <c r="C922" s="78"/>
      <c r="D922" s="78"/>
    </row>
    <row r="923">
      <c r="B923" s="78"/>
      <c r="C923" s="78"/>
      <c r="D923" s="78"/>
    </row>
    <row r="924">
      <c r="B924" s="78"/>
      <c r="C924" s="78"/>
      <c r="D924" s="78"/>
    </row>
    <row r="925">
      <c r="B925" s="78"/>
      <c r="C925" s="78"/>
      <c r="D925" s="78"/>
    </row>
    <row r="926">
      <c r="B926" s="78"/>
      <c r="C926" s="78"/>
      <c r="D926" s="78"/>
    </row>
    <row r="927">
      <c r="B927" s="78"/>
      <c r="C927" s="78"/>
      <c r="D927" s="78"/>
    </row>
    <row r="928">
      <c r="B928" s="78"/>
      <c r="C928" s="78"/>
      <c r="D928" s="78"/>
    </row>
    <row r="929">
      <c r="B929" s="78"/>
      <c r="C929" s="78"/>
      <c r="D929" s="78"/>
    </row>
    <row r="930">
      <c r="B930" s="78"/>
      <c r="C930" s="78"/>
      <c r="D930" s="78"/>
    </row>
    <row r="931">
      <c r="B931" s="78"/>
      <c r="C931" s="78"/>
      <c r="D931" s="78"/>
    </row>
    <row r="932">
      <c r="B932" s="78"/>
      <c r="C932" s="78"/>
      <c r="D932" s="78"/>
    </row>
    <row r="933">
      <c r="B933" s="78"/>
      <c r="C933" s="78"/>
      <c r="D933" s="78"/>
    </row>
    <row r="934">
      <c r="B934" s="78"/>
      <c r="C934" s="78"/>
      <c r="D934" s="78"/>
    </row>
    <row r="935">
      <c r="B935" s="78"/>
      <c r="C935" s="78"/>
      <c r="D935" s="78"/>
    </row>
    <row r="936">
      <c r="B936" s="78"/>
      <c r="C936" s="78"/>
      <c r="D936" s="78"/>
    </row>
  </sheetData>
  <mergeCells count="3">
    <mergeCell ref="A1:B1"/>
    <mergeCell ref="A3:A5"/>
    <mergeCell ref="B3:B5"/>
  </mergeCells>
  <dataValidations>
    <dataValidation type="list" allowBlank="1" showErrorMessage="1" sqref="E3:E5">
      <formula1>"완료,진행중,대기"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outlinePr summaryBelow="0" summaryRight="0"/>
  </sheetPr>
  <sheetViews>
    <sheetView workbookViewId="0"/>
  </sheetViews>
  <sheetFormatPr customHeight="1" defaultColWidth="12.63" defaultRowHeight="15.75"/>
  <cols>
    <col customWidth="1" min="3" max="3" width="51.38"/>
  </cols>
  <sheetData>
    <row r="1">
      <c r="A1" s="73" t="s">
        <v>198</v>
      </c>
      <c r="B1" s="37"/>
      <c r="C1" s="74"/>
      <c r="D1" s="74"/>
      <c r="E1" s="74"/>
    </row>
    <row r="2">
      <c r="A2" s="32" t="s">
        <v>191</v>
      </c>
      <c r="B2" s="32" t="s">
        <v>24</v>
      </c>
      <c r="C2" s="32" t="s">
        <v>192</v>
      </c>
      <c r="D2" s="32" t="s">
        <v>40</v>
      </c>
      <c r="E2" s="32" t="s">
        <v>9</v>
      </c>
      <c r="F2" s="32" t="s">
        <v>193</v>
      </c>
    </row>
    <row r="3">
      <c r="A3" s="75">
        <v>45972.0</v>
      </c>
      <c r="B3" s="76">
        <v>0.75</v>
      </c>
      <c r="C3" s="49" t="s">
        <v>75</v>
      </c>
      <c r="D3" s="49" t="s">
        <v>74</v>
      </c>
      <c r="E3" s="49" t="s">
        <v>194</v>
      </c>
    </row>
    <row r="4">
      <c r="C4" s="49" t="s">
        <v>93</v>
      </c>
      <c r="D4" s="79" t="s">
        <v>92</v>
      </c>
      <c r="E4" s="49" t="s">
        <v>199</v>
      </c>
    </row>
    <row r="5">
      <c r="A5" s="80"/>
      <c r="B5" s="81"/>
      <c r="C5" s="49"/>
      <c r="D5" s="49"/>
      <c r="E5" s="74"/>
    </row>
    <row r="6">
      <c r="A6" s="80"/>
      <c r="B6" s="81"/>
      <c r="E6" s="74"/>
    </row>
    <row r="7">
      <c r="E7" s="74"/>
    </row>
    <row r="8">
      <c r="E8" s="74"/>
    </row>
    <row r="9">
      <c r="E9" s="74"/>
    </row>
    <row r="10">
      <c r="E10" s="74"/>
    </row>
  </sheetData>
  <mergeCells count="3">
    <mergeCell ref="A1:B1"/>
    <mergeCell ref="A3:A4"/>
    <mergeCell ref="B3:B4"/>
  </mergeCells>
  <dataValidations>
    <dataValidation type="list" allowBlank="1" showErrorMessage="1" sqref="E3:E4">
      <formula1>"완료,진행중,대기"</formula1>
    </dataValidation>
  </dataValidations>
  <drawing r:id="rId1"/>
</worksheet>
</file>